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84177E06-FE9B-4EA7-94E0-E19AA680B0EF}" xr6:coauthVersionLast="47" xr6:coauthVersionMax="47" xr10:uidLastSave="{00000000-0000-0000-0000-000000000000}"/>
  <bookViews>
    <workbookView xWindow="-120" yWindow="-120" windowWidth="20730" windowHeight="11310" activeTab="4" xr2:uid="{53B6310C-165C-4302-ACB8-AE58CFCBE017}"/>
  </bookViews>
  <sheets>
    <sheet name="Raw data" sheetId="2" r:id="rId1"/>
    <sheet name="tblProducts" sheetId="3" r:id="rId2"/>
    <sheet name="Analysis" sheetId="4" r:id="rId3"/>
    <sheet name="Pivot Tables" sheetId="6" r:id="rId4"/>
    <sheet name="Dashboard" sheetId="5" r:id="rId5"/>
    <sheet name="Data_Dictionary" sheetId="1" r:id="rId6"/>
  </sheets>
  <definedNames>
    <definedName name="Engagement_Q3">Analysis!$B$5</definedName>
    <definedName name="Engagement_Threshold">Analysis!$B$5</definedName>
    <definedName name="ExternalData_1" localSheetId="0" hidden="1">'Raw data'!$A$1:$F$116</definedName>
    <definedName name="ExternalData_2" localSheetId="1" hidden="1">tblProducts!$A$1:$F$113</definedName>
    <definedName name="Slicer_Discount_Category">#N/A</definedName>
    <definedName name="Slicer_Price_Category">#N/A</definedName>
    <definedName name="Slicer_Rating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12" i="4" l="1"/>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A30" i="4"/>
  <c r="A27" i="4"/>
  <c r="A24" i="4"/>
  <c r="B18" i="4"/>
  <c r="B17" i="4"/>
  <c r="B16" i="4"/>
  <c r="B15" i="4"/>
  <c r="B14" i="4"/>
  <c r="B13" i="4"/>
  <c r="B11" i="4"/>
  <c r="B10" i="4"/>
  <c r="B9" i="4"/>
  <c r="C2" i="1"/>
  <c r="C3" i="1"/>
  <c r="C4" i="1"/>
  <c r="C5" i="1"/>
  <c r="C6" i="1"/>
  <c r="C7" i="1"/>
  <c r="C8" i="1"/>
  <c r="C9" i="1"/>
  <c r="C10" i="1"/>
  <c r="C11" i="1" a="1"/>
  <c r="C12" i="1" a="1"/>
  <c r="C13" i="1" a="1"/>
  <c r="C14" i="1" a="1"/>
  <c r="C15" i="1" a="1"/>
  <c r="C16" i="1" a="1"/>
  <c r="C17" i="1"/>
  <c r="C18" i="1"/>
  <c r="C19" i="1" a="1"/>
  <c r="C20" i="1" a="1"/>
  <c r="O23" i="3"/>
  <c r="O31" i="3"/>
  <c r="O41" i="3"/>
  <c r="O42" i="3"/>
  <c r="O43" i="3"/>
  <c r="O44" i="3"/>
  <c r="O45" i="3"/>
  <c r="O46" i="3"/>
  <c r="O47" i="3"/>
  <c r="O48" i="3"/>
  <c r="O49" i="3"/>
  <c r="O50" i="3"/>
  <c r="O51" i="3"/>
  <c r="O52" i="3"/>
  <c r="O53" i="3"/>
  <c r="O54" i="3"/>
  <c r="O55" i="3"/>
  <c r="O56" i="3"/>
  <c r="O57" i="3"/>
  <c r="O58" i="3"/>
  <c r="O59" i="3"/>
  <c r="O60" i="3"/>
  <c r="O76" i="3"/>
  <c r="O77" i="3"/>
  <c r="O78" i="3"/>
  <c r="O79" i="3"/>
  <c r="O82" i="3"/>
  <c r="O83" i="3"/>
  <c r="O85" i="3"/>
  <c r="O86" i="3"/>
  <c r="O87" i="3"/>
  <c r="O88" i="3"/>
  <c r="O89" i="3"/>
  <c r="O90" i="3"/>
  <c r="O91" i="3"/>
  <c r="O92" i="3"/>
  <c r="O93" i="3"/>
  <c r="O94" i="3"/>
  <c r="O95" i="3"/>
  <c r="O96" i="3"/>
  <c r="O97" i="3"/>
  <c r="O98" i="3"/>
  <c r="O99" i="3"/>
  <c r="O100" i="3"/>
  <c r="O101" i="3"/>
  <c r="O102" i="3"/>
  <c r="O104" i="3"/>
  <c r="O105" i="3"/>
  <c r="O106" i="3"/>
  <c r="O107" i="3"/>
  <c r="O108" i="3"/>
  <c r="O109" i="3"/>
  <c r="O110" i="3"/>
  <c r="O111" i="3"/>
  <c r="O113" i="3"/>
  <c r="N23" i="3"/>
  <c r="N31" i="3"/>
  <c r="N41" i="3"/>
  <c r="N42" i="3"/>
  <c r="N43" i="3"/>
  <c r="N44" i="3"/>
  <c r="N45" i="3"/>
  <c r="N46" i="3"/>
  <c r="N47" i="3"/>
  <c r="N48" i="3"/>
  <c r="N49" i="3"/>
  <c r="N50" i="3"/>
  <c r="N51" i="3"/>
  <c r="N52" i="3"/>
  <c r="N53" i="3"/>
  <c r="N54" i="3"/>
  <c r="N55" i="3"/>
  <c r="N56" i="3"/>
  <c r="N57" i="3"/>
  <c r="N58" i="3"/>
  <c r="N59" i="3"/>
  <c r="N60" i="3"/>
  <c r="N76" i="3"/>
  <c r="N77" i="3"/>
  <c r="N78" i="3"/>
  <c r="N79" i="3"/>
  <c r="N82" i="3"/>
  <c r="N83" i="3"/>
  <c r="N85" i="3"/>
  <c r="N86" i="3"/>
  <c r="N87" i="3"/>
  <c r="N88" i="3"/>
  <c r="N89" i="3"/>
  <c r="N90" i="3"/>
  <c r="N91" i="3"/>
  <c r="N92" i="3"/>
  <c r="N93" i="3"/>
  <c r="N94" i="3"/>
  <c r="N95" i="3"/>
  <c r="N96" i="3"/>
  <c r="N97" i="3"/>
  <c r="N98" i="3"/>
  <c r="N99" i="3"/>
  <c r="N100" i="3"/>
  <c r="N101" i="3"/>
  <c r="N102" i="3"/>
  <c r="N104" i="3"/>
  <c r="N105" i="3"/>
  <c r="N106" i="3"/>
  <c r="N107" i="3"/>
  <c r="N108" i="3"/>
  <c r="N109" i="3"/>
  <c r="N110" i="3"/>
  <c r="N111" i="3"/>
  <c r="N113" i="3"/>
  <c r="M23" i="3"/>
  <c r="M31" i="3"/>
  <c r="M41" i="3"/>
  <c r="M42" i="3"/>
  <c r="M43" i="3"/>
  <c r="M44" i="3"/>
  <c r="M45" i="3"/>
  <c r="M46" i="3"/>
  <c r="M47" i="3"/>
  <c r="M48" i="3"/>
  <c r="M49" i="3"/>
  <c r="M50" i="3"/>
  <c r="M51" i="3"/>
  <c r="M52" i="3"/>
  <c r="M53" i="3"/>
  <c r="M54" i="3"/>
  <c r="M55" i="3"/>
  <c r="M56" i="3"/>
  <c r="M57" i="3"/>
  <c r="M58" i="3"/>
  <c r="M59" i="3"/>
  <c r="M60" i="3"/>
  <c r="M76" i="3"/>
  <c r="M77" i="3"/>
  <c r="M78" i="3"/>
  <c r="M79" i="3"/>
  <c r="M82" i="3"/>
  <c r="M83" i="3"/>
  <c r="M85" i="3"/>
  <c r="M86" i="3"/>
  <c r="M87" i="3"/>
  <c r="M88" i="3"/>
  <c r="M89" i="3"/>
  <c r="M90" i="3"/>
  <c r="M91" i="3"/>
  <c r="M92" i="3"/>
  <c r="M93" i="3"/>
  <c r="M94" i="3"/>
  <c r="M95" i="3"/>
  <c r="M96" i="3"/>
  <c r="M97" i="3"/>
  <c r="M98" i="3"/>
  <c r="M99" i="3"/>
  <c r="M100" i="3"/>
  <c r="M101" i="3"/>
  <c r="M102" i="3"/>
  <c r="M104" i="3"/>
  <c r="M105" i="3"/>
  <c r="M106" i="3"/>
  <c r="M107" i="3"/>
  <c r="M108" i="3"/>
  <c r="M109" i="3"/>
  <c r="M110" i="3"/>
  <c r="M111" i="3"/>
  <c r="M113"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K23" i="3"/>
  <c r="K31" i="3"/>
  <c r="K41" i="3"/>
  <c r="K42" i="3"/>
  <c r="K43" i="3"/>
  <c r="K44" i="3"/>
  <c r="K45" i="3"/>
  <c r="K46" i="3"/>
  <c r="K47" i="3"/>
  <c r="K48" i="3"/>
  <c r="K49" i="3"/>
  <c r="K50" i="3"/>
  <c r="K51" i="3"/>
  <c r="K52" i="3"/>
  <c r="K53" i="3"/>
  <c r="K54" i="3"/>
  <c r="K55" i="3"/>
  <c r="K56" i="3"/>
  <c r="K57" i="3"/>
  <c r="K58" i="3"/>
  <c r="K59" i="3"/>
  <c r="K60" i="3"/>
  <c r="K76" i="3"/>
  <c r="K77" i="3"/>
  <c r="K78" i="3"/>
  <c r="K79" i="3"/>
  <c r="K82" i="3"/>
  <c r="K83" i="3"/>
  <c r="K85" i="3"/>
  <c r="K86" i="3"/>
  <c r="K87" i="3"/>
  <c r="K88" i="3"/>
  <c r="K89" i="3"/>
  <c r="K90" i="3"/>
  <c r="K91" i="3"/>
  <c r="K92" i="3"/>
  <c r="K93" i="3"/>
  <c r="K94" i="3"/>
  <c r="K95" i="3"/>
  <c r="K96" i="3"/>
  <c r="K97" i="3"/>
  <c r="K98" i="3"/>
  <c r="K99" i="3"/>
  <c r="K100" i="3"/>
  <c r="K101" i="3"/>
  <c r="K102" i="3"/>
  <c r="K104" i="3"/>
  <c r="K105" i="3"/>
  <c r="K106" i="3"/>
  <c r="K107" i="3"/>
  <c r="K108" i="3"/>
  <c r="K109" i="3"/>
  <c r="K110" i="3"/>
  <c r="K111" i="3"/>
  <c r="K113" i="3"/>
  <c r="B5" i="4"/>
  <c r="K2" i="3" s="1"/>
  <c r="O2" i="3" s="1"/>
  <c r="B4" i="4"/>
  <c r="B3" i="4"/>
  <c r="J18" i="3" s="1"/>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Q2" i="3"/>
  <c r="R2" i="3" s="1"/>
  <c r="Q3" i="3"/>
  <c r="R3" i="3" s="1"/>
  <c r="Q4" i="3"/>
  <c r="R4" i="3" s="1"/>
  <c r="Q5" i="3"/>
  <c r="R5" i="3" s="1"/>
  <c r="Q6" i="3"/>
  <c r="R6" i="3" s="1"/>
  <c r="Q7" i="3"/>
  <c r="R7" i="3" s="1"/>
  <c r="Q8" i="3"/>
  <c r="R8" i="3" s="1"/>
  <c r="Q9" i="3"/>
  <c r="R9" i="3" s="1"/>
  <c r="Q10" i="3"/>
  <c r="R10" i="3" s="1"/>
  <c r="Q11" i="3"/>
  <c r="R11" i="3" s="1"/>
  <c r="Q12" i="3"/>
  <c r="R12" i="3" s="1"/>
  <c r="Q13" i="3"/>
  <c r="R13" i="3" s="1"/>
  <c r="Q14" i="3"/>
  <c r="R14" i="3" s="1"/>
  <c r="Q15" i="3"/>
  <c r="R15" i="3" s="1"/>
  <c r="Q16" i="3"/>
  <c r="R16" i="3" s="1"/>
  <c r="Q17" i="3"/>
  <c r="R17" i="3" s="1"/>
  <c r="Q18" i="3"/>
  <c r="R18" i="3" s="1"/>
  <c r="Q19" i="3"/>
  <c r="R19" i="3" s="1"/>
  <c r="Q20" i="3"/>
  <c r="R20" i="3" s="1"/>
  <c r="Q21" i="3"/>
  <c r="R21" i="3" s="1"/>
  <c r="Q22" i="3"/>
  <c r="R22" i="3" s="1"/>
  <c r="Q23" i="3"/>
  <c r="R23" i="3" s="1"/>
  <c r="Q24" i="3"/>
  <c r="R24" i="3" s="1"/>
  <c r="Q25" i="3"/>
  <c r="R25" i="3" s="1"/>
  <c r="Q26" i="3"/>
  <c r="R26" i="3" s="1"/>
  <c r="Q27" i="3"/>
  <c r="R27" i="3" s="1"/>
  <c r="Q28" i="3"/>
  <c r="R28" i="3" s="1"/>
  <c r="Q29" i="3"/>
  <c r="R29" i="3" s="1"/>
  <c r="Q30" i="3"/>
  <c r="R30" i="3" s="1"/>
  <c r="Q31" i="3"/>
  <c r="R31" i="3" s="1"/>
  <c r="Q32" i="3"/>
  <c r="R32" i="3" s="1"/>
  <c r="Q33" i="3"/>
  <c r="R33" i="3" s="1"/>
  <c r="Q34" i="3"/>
  <c r="R34" i="3" s="1"/>
  <c r="Q35" i="3"/>
  <c r="R35" i="3" s="1"/>
  <c r="Q36" i="3"/>
  <c r="R36" i="3" s="1"/>
  <c r="Q37" i="3"/>
  <c r="R37" i="3" s="1"/>
  <c r="Q38" i="3"/>
  <c r="R38" i="3" s="1"/>
  <c r="Q39" i="3"/>
  <c r="R39" i="3" s="1"/>
  <c r="Q40" i="3"/>
  <c r="R40" i="3" s="1"/>
  <c r="Q41" i="3"/>
  <c r="R41" i="3" s="1"/>
  <c r="Q42" i="3"/>
  <c r="R42" i="3" s="1"/>
  <c r="Q43" i="3"/>
  <c r="R43" i="3" s="1"/>
  <c r="Q44" i="3"/>
  <c r="R44" i="3" s="1"/>
  <c r="Q45" i="3"/>
  <c r="R45" i="3" s="1"/>
  <c r="Q46" i="3"/>
  <c r="R46" i="3" s="1"/>
  <c r="Q47" i="3"/>
  <c r="R47" i="3" s="1"/>
  <c r="Q48" i="3"/>
  <c r="R48" i="3" s="1"/>
  <c r="Q49" i="3"/>
  <c r="R49" i="3" s="1"/>
  <c r="Q50" i="3"/>
  <c r="R50" i="3" s="1"/>
  <c r="Q51" i="3"/>
  <c r="R51" i="3" s="1"/>
  <c r="Q52" i="3"/>
  <c r="R52" i="3" s="1"/>
  <c r="Q53" i="3"/>
  <c r="R53" i="3" s="1"/>
  <c r="Q54" i="3"/>
  <c r="R54" i="3" s="1"/>
  <c r="Q55" i="3"/>
  <c r="R55" i="3" s="1"/>
  <c r="Q56" i="3"/>
  <c r="R56" i="3" s="1"/>
  <c r="Q57" i="3"/>
  <c r="R57" i="3" s="1"/>
  <c r="Q58" i="3"/>
  <c r="R58" i="3" s="1"/>
  <c r="Q59" i="3"/>
  <c r="R59" i="3" s="1"/>
  <c r="Q60" i="3"/>
  <c r="R60" i="3" s="1"/>
  <c r="Q61" i="3"/>
  <c r="R61" i="3" s="1"/>
  <c r="Q62" i="3"/>
  <c r="R62" i="3" s="1"/>
  <c r="Q63" i="3"/>
  <c r="R63" i="3" s="1"/>
  <c r="Q64" i="3"/>
  <c r="R64" i="3" s="1"/>
  <c r="Q65" i="3"/>
  <c r="R65" i="3" s="1"/>
  <c r="Q66" i="3"/>
  <c r="R66" i="3" s="1"/>
  <c r="Q67" i="3"/>
  <c r="R67" i="3" s="1"/>
  <c r="Q68" i="3"/>
  <c r="R68" i="3" s="1"/>
  <c r="Q69" i="3"/>
  <c r="R69" i="3" s="1"/>
  <c r="Q70" i="3"/>
  <c r="R70" i="3" s="1"/>
  <c r="Q71" i="3"/>
  <c r="R71" i="3" s="1"/>
  <c r="Q72" i="3"/>
  <c r="R72" i="3" s="1"/>
  <c r="Q73" i="3"/>
  <c r="R73" i="3" s="1"/>
  <c r="Q74" i="3"/>
  <c r="R74" i="3" s="1"/>
  <c r="Q75" i="3"/>
  <c r="R75" i="3" s="1"/>
  <c r="Q76" i="3"/>
  <c r="R76" i="3" s="1"/>
  <c r="Q77" i="3"/>
  <c r="R77" i="3" s="1"/>
  <c r="Q78" i="3"/>
  <c r="R78" i="3" s="1"/>
  <c r="Q79" i="3"/>
  <c r="R79" i="3" s="1"/>
  <c r="Q80" i="3"/>
  <c r="R80" i="3" s="1"/>
  <c r="Q81" i="3"/>
  <c r="R81" i="3" s="1"/>
  <c r="Q82" i="3"/>
  <c r="R82" i="3" s="1"/>
  <c r="Q83" i="3"/>
  <c r="R83" i="3" s="1"/>
  <c r="Q84" i="3"/>
  <c r="R84" i="3" s="1"/>
  <c r="Q85" i="3"/>
  <c r="R85" i="3" s="1"/>
  <c r="Q86" i="3"/>
  <c r="R86" i="3" s="1"/>
  <c r="Q87" i="3"/>
  <c r="R87" i="3" s="1"/>
  <c r="Q88" i="3"/>
  <c r="R88" i="3" s="1"/>
  <c r="Q89" i="3"/>
  <c r="R89" i="3" s="1"/>
  <c r="Q90" i="3"/>
  <c r="R90" i="3" s="1"/>
  <c r="Q91" i="3"/>
  <c r="R91" i="3" s="1"/>
  <c r="Q92" i="3"/>
  <c r="R92" i="3" s="1"/>
  <c r="Q93" i="3"/>
  <c r="R93" i="3" s="1"/>
  <c r="Q94" i="3"/>
  <c r="R94" i="3" s="1"/>
  <c r="Q95" i="3"/>
  <c r="R95" i="3" s="1"/>
  <c r="Q96" i="3"/>
  <c r="R96" i="3" s="1"/>
  <c r="Q97" i="3"/>
  <c r="R97" i="3" s="1"/>
  <c r="Q98" i="3"/>
  <c r="R98" i="3" s="1"/>
  <c r="Q99" i="3"/>
  <c r="R99" i="3" s="1"/>
  <c r="Q100" i="3"/>
  <c r="R100" i="3" s="1"/>
  <c r="Q101" i="3"/>
  <c r="R101" i="3" s="1"/>
  <c r="Q102" i="3"/>
  <c r="R102" i="3" s="1"/>
  <c r="Q103" i="3"/>
  <c r="R103" i="3" s="1"/>
  <c r="Q104" i="3"/>
  <c r="R104" i="3" s="1"/>
  <c r="Q105" i="3"/>
  <c r="R105" i="3" s="1"/>
  <c r="Q106" i="3"/>
  <c r="R106" i="3" s="1"/>
  <c r="Q107" i="3"/>
  <c r="R107" i="3" s="1"/>
  <c r="Q108" i="3"/>
  <c r="R108" i="3" s="1"/>
  <c r="Q109" i="3"/>
  <c r="R109" i="3" s="1"/>
  <c r="Q110" i="3"/>
  <c r="R110" i="3" s="1"/>
  <c r="Q111" i="3"/>
  <c r="R111" i="3" s="1"/>
  <c r="Q112" i="3"/>
  <c r="R112" i="3" s="1"/>
  <c r="Q113" i="3"/>
  <c r="R113" i="3" s="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M2" i="3" l="1"/>
  <c r="N2" i="3"/>
  <c r="K27" i="3"/>
  <c r="K103" i="3"/>
  <c r="K75" i="3"/>
  <c r="K5" i="3"/>
  <c r="K3" i="3"/>
  <c r="J40" i="3"/>
  <c r="K71" i="3"/>
  <c r="K21" i="3"/>
  <c r="J32" i="3"/>
  <c r="K69" i="3"/>
  <c r="K39" i="3"/>
  <c r="K19" i="3"/>
  <c r="K67" i="3"/>
  <c r="K37" i="3"/>
  <c r="K15" i="3"/>
  <c r="K63" i="3"/>
  <c r="K35" i="3"/>
  <c r="K13" i="3"/>
  <c r="K61" i="3"/>
  <c r="K11" i="3"/>
  <c r="K29" i="3"/>
  <c r="K7" i="3"/>
  <c r="K81" i="3"/>
  <c r="K73" i="3"/>
  <c r="K65" i="3"/>
  <c r="K33" i="3"/>
  <c r="K25" i="3"/>
  <c r="K17" i="3"/>
  <c r="K9" i="3"/>
  <c r="K112" i="3"/>
  <c r="K80" i="3"/>
  <c r="K72" i="3"/>
  <c r="K64" i="3"/>
  <c r="K40" i="3"/>
  <c r="K32" i="3"/>
  <c r="K24" i="3"/>
  <c r="K16" i="3"/>
  <c r="K8" i="3"/>
  <c r="J113" i="3"/>
  <c r="K70" i="3"/>
  <c r="K62" i="3"/>
  <c r="K38" i="3"/>
  <c r="K30" i="3"/>
  <c r="K22" i="3"/>
  <c r="K14" i="3"/>
  <c r="K6" i="3"/>
  <c r="K84" i="3"/>
  <c r="K68" i="3"/>
  <c r="K36" i="3"/>
  <c r="K28" i="3"/>
  <c r="K20" i="3"/>
  <c r="K12" i="3"/>
  <c r="K4" i="3"/>
  <c r="K74" i="3"/>
  <c r="K66" i="3"/>
  <c r="K34" i="3"/>
  <c r="K26" i="3"/>
  <c r="K18" i="3"/>
  <c r="K10" i="3"/>
  <c r="J65" i="3"/>
  <c r="J7" i="3"/>
  <c r="J17" i="3"/>
  <c r="J2" i="3"/>
  <c r="J112" i="3"/>
  <c r="J106" i="3"/>
  <c r="J72" i="3"/>
  <c r="J8" i="3"/>
  <c r="J64" i="3"/>
  <c r="J50" i="3"/>
  <c r="J42" i="3"/>
  <c r="J74" i="3"/>
  <c r="J10" i="3"/>
  <c r="J88" i="3"/>
  <c r="J48" i="3"/>
  <c r="J16" i="3"/>
  <c r="J110" i="3"/>
  <c r="J102" i="3"/>
  <c r="J94" i="3"/>
  <c r="J86" i="3"/>
  <c r="J78" i="3"/>
  <c r="J70" i="3"/>
  <c r="J62" i="3"/>
  <c r="J54" i="3"/>
  <c r="J46" i="3"/>
  <c r="J38" i="3"/>
  <c r="J30" i="3"/>
  <c r="J22" i="3"/>
  <c r="J14" i="3"/>
  <c r="J6" i="3"/>
  <c r="J82" i="3"/>
  <c r="J96" i="3"/>
  <c r="J80" i="3"/>
  <c r="J109" i="3"/>
  <c r="J101" i="3"/>
  <c r="J93" i="3"/>
  <c r="J85" i="3"/>
  <c r="J77" i="3"/>
  <c r="J69" i="3"/>
  <c r="J61" i="3"/>
  <c r="J53" i="3"/>
  <c r="J45" i="3"/>
  <c r="J37" i="3"/>
  <c r="J29" i="3"/>
  <c r="J21" i="3"/>
  <c r="J13" i="3"/>
  <c r="J5" i="3"/>
  <c r="J98" i="3"/>
  <c r="J66" i="3"/>
  <c r="J34" i="3"/>
  <c r="J104" i="3"/>
  <c r="J56" i="3"/>
  <c r="J24" i="3"/>
  <c r="J108" i="3"/>
  <c r="J100" i="3"/>
  <c r="J92" i="3"/>
  <c r="J84" i="3"/>
  <c r="J76" i="3"/>
  <c r="J68" i="3"/>
  <c r="J60" i="3"/>
  <c r="J52" i="3"/>
  <c r="J44" i="3"/>
  <c r="J36" i="3"/>
  <c r="J28" i="3"/>
  <c r="J20" i="3"/>
  <c r="J12" i="3"/>
  <c r="J4" i="3"/>
  <c r="J107" i="3"/>
  <c r="J99" i="3"/>
  <c r="J91" i="3"/>
  <c r="J83" i="3"/>
  <c r="J75" i="3"/>
  <c r="J67" i="3"/>
  <c r="J59" i="3"/>
  <c r="J51" i="3"/>
  <c r="J43" i="3"/>
  <c r="J35" i="3"/>
  <c r="J27" i="3"/>
  <c r="J19" i="3"/>
  <c r="J11" i="3"/>
  <c r="J3" i="3"/>
  <c r="J105" i="3"/>
  <c r="J97" i="3"/>
  <c r="J89" i="3"/>
  <c r="J81" i="3"/>
  <c r="J73" i="3"/>
  <c r="J57" i="3"/>
  <c r="J49" i="3"/>
  <c r="J41" i="3"/>
  <c r="J33" i="3"/>
  <c r="J25" i="3"/>
  <c r="J9" i="3"/>
  <c r="J90" i="3"/>
  <c r="J58" i="3"/>
  <c r="J26" i="3"/>
  <c r="J111" i="3"/>
  <c r="J103" i="3"/>
  <c r="J95" i="3"/>
  <c r="J87" i="3"/>
  <c r="J79" i="3"/>
  <c r="J71" i="3"/>
  <c r="J63" i="3"/>
  <c r="J55" i="3"/>
  <c r="J47" i="3"/>
  <c r="J39" i="3"/>
  <c r="J31" i="3"/>
  <c r="J23" i="3"/>
  <c r="J15" i="3"/>
  <c r="M74" i="3" l="1"/>
  <c r="O74" i="3"/>
  <c r="N74" i="3"/>
  <c r="O6" i="3"/>
  <c r="N6" i="3"/>
  <c r="M6" i="3"/>
  <c r="O8" i="3"/>
  <c r="N8" i="3"/>
  <c r="M8" i="3"/>
  <c r="N112" i="3"/>
  <c r="O112" i="3"/>
  <c r="M112" i="3"/>
  <c r="O7" i="3"/>
  <c r="N7" i="3"/>
  <c r="M7" i="3"/>
  <c r="O37" i="3"/>
  <c r="N37" i="3"/>
  <c r="M37" i="3"/>
  <c r="O4" i="3"/>
  <c r="N4" i="3"/>
  <c r="M4" i="3"/>
  <c r="O14" i="3"/>
  <c r="N14" i="3"/>
  <c r="M14" i="3"/>
  <c r="N16" i="3"/>
  <c r="M16" i="3"/>
  <c r="O16" i="3"/>
  <c r="N9" i="3"/>
  <c r="M9" i="3"/>
  <c r="O9" i="3"/>
  <c r="O29" i="3"/>
  <c r="N29" i="3"/>
  <c r="M29" i="3"/>
  <c r="M67" i="3"/>
  <c r="O67" i="3"/>
  <c r="N67" i="3"/>
  <c r="O3" i="3"/>
  <c r="N3" i="3"/>
  <c r="M3" i="3"/>
  <c r="O12" i="3"/>
  <c r="N12" i="3"/>
  <c r="M12" i="3"/>
  <c r="M24" i="3"/>
  <c r="O24" i="3"/>
  <c r="N24" i="3"/>
  <c r="O5" i="3"/>
  <c r="N5" i="3"/>
  <c r="M5" i="3"/>
  <c r="O30" i="3"/>
  <c r="N30" i="3"/>
  <c r="M30" i="3"/>
  <c r="O61" i="3"/>
  <c r="N61" i="3"/>
  <c r="M61" i="3"/>
  <c r="O18" i="3"/>
  <c r="M18" i="3"/>
  <c r="N18" i="3"/>
  <c r="O28" i="3"/>
  <c r="N28" i="3"/>
  <c r="M28" i="3"/>
  <c r="N40" i="3"/>
  <c r="M40" i="3"/>
  <c r="O40" i="3"/>
  <c r="N33" i="3"/>
  <c r="M33" i="3"/>
  <c r="O33" i="3"/>
  <c r="O13" i="3"/>
  <c r="N13" i="3"/>
  <c r="M13" i="3"/>
  <c r="O69" i="3"/>
  <c r="N69" i="3"/>
  <c r="M69" i="3"/>
  <c r="O103" i="3"/>
  <c r="N103" i="3"/>
  <c r="M103" i="3"/>
  <c r="O11" i="3"/>
  <c r="N11" i="3"/>
  <c r="M11" i="3"/>
  <c r="O10" i="3"/>
  <c r="N10" i="3"/>
  <c r="M10" i="3"/>
  <c r="O39" i="3"/>
  <c r="N39" i="3"/>
  <c r="M39" i="3"/>
  <c r="O26" i="3"/>
  <c r="N26" i="3"/>
  <c r="M26" i="3"/>
  <c r="O36" i="3"/>
  <c r="N36" i="3"/>
  <c r="M36" i="3"/>
  <c r="O62" i="3"/>
  <c r="N62" i="3"/>
  <c r="M62" i="3"/>
  <c r="O64" i="3"/>
  <c r="N64" i="3"/>
  <c r="M64" i="3"/>
  <c r="N65" i="3"/>
  <c r="M65" i="3"/>
  <c r="O65" i="3"/>
  <c r="O35" i="3"/>
  <c r="N35" i="3"/>
  <c r="M35" i="3"/>
  <c r="O27" i="3"/>
  <c r="N27" i="3"/>
  <c r="M27" i="3"/>
  <c r="M17" i="3"/>
  <c r="O17" i="3"/>
  <c r="N17" i="3"/>
  <c r="N32" i="3"/>
  <c r="O32" i="3"/>
  <c r="M32" i="3"/>
  <c r="O75" i="3"/>
  <c r="N75" i="3"/>
  <c r="M75" i="3"/>
  <c r="O38" i="3"/>
  <c r="N38" i="3"/>
  <c r="M38" i="3"/>
  <c r="M34" i="3"/>
  <c r="O34" i="3"/>
  <c r="N34" i="3"/>
  <c r="O68" i="3"/>
  <c r="N68" i="3"/>
  <c r="M68" i="3"/>
  <c r="O70" i="3"/>
  <c r="N70" i="3"/>
  <c r="M70" i="3"/>
  <c r="N72" i="3"/>
  <c r="M72" i="3"/>
  <c r="O72" i="3"/>
  <c r="N73" i="3"/>
  <c r="M73" i="3"/>
  <c r="O73" i="3"/>
  <c r="O63" i="3"/>
  <c r="N63" i="3"/>
  <c r="M63" i="3"/>
  <c r="O21" i="3"/>
  <c r="N21" i="3"/>
  <c r="M21" i="3"/>
  <c r="O22" i="3"/>
  <c r="N22" i="3"/>
  <c r="M22" i="3"/>
  <c r="O19" i="3"/>
  <c r="N19" i="3"/>
  <c r="M19" i="3"/>
  <c r="O20" i="3"/>
  <c r="N20" i="3"/>
  <c r="M20" i="3"/>
  <c r="N25" i="3"/>
  <c r="O25" i="3"/>
  <c r="M25" i="3"/>
  <c r="O66" i="3"/>
  <c r="N66" i="3"/>
  <c r="M66" i="3"/>
  <c r="O84" i="3"/>
  <c r="N84" i="3"/>
  <c r="M84" i="3"/>
  <c r="N80" i="3"/>
  <c r="M80" i="3"/>
  <c r="O80" i="3"/>
  <c r="N81" i="3"/>
  <c r="M81" i="3"/>
  <c r="O81" i="3"/>
  <c r="O15" i="3"/>
  <c r="N15" i="3"/>
  <c r="M15" i="3"/>
  <c r="O71" i="3"/>
  <c r="N71" i="3"/>
  <c r="M7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0E2BA0-00BC-435A-902B-D05FC9416E08}"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 id="2" xr16:uid="{37AB54A6-9357-47C0-A92F-40FF8784E551}" keepAlive="1" name="Query - Excel_jumia_dataset" description="Connection to the 'Excel_jumia_dataset' query in the workbook." type="5" refreshedVersion="8" background="1" saveData="1">
    <dbPr connection="Provider=Microsoft.Mashup.OleDb.1;Data Source=$Workbook$;Location=Excel_jumia_dataset;Extended Properties=&quot;&quot;" command="SELECT * FROM [Excel_jumia_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<sst xmlns="http://schemas.openxmlformats.org/spreadsheetml/2006/main" count="950" uniqueCount="490">
  <si>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</si>
  <si>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</si>
  <si>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</si>
  <si>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</si>
  <si>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</si>
  <si>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</si>
  <si>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</si>
  <si>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</si>
  <si>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</si>
  <si>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</si>
  <si>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</si>
  <si>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</si>
  <si>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</si>
  <si>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</si>
  <si>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</si>
  <si>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</si>
  <si>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</si>
  <si>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</si>
  <si>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</si>
  <si>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</si>
  <si>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</si>
  <si>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</si>
  <si>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</si>
  <si>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</si>
  <si>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</si>
  <si>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</si>
  <si>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</si>
  <si>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</si>
  <si>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</si>
  <si>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</si>
  <si>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</si>
  <si>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</si>
  <si>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</si>
  <si>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</si>
  <si>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</si>
  <si>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</si>
  <si>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</si>
  <si>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</si>
  <si>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</si>
  <si>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</si>
  <si>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</si>
  <si>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</si>
  <si>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</si>
  <si>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</si>
  <si>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</si>
  <si>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</si>
  <si>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</si>
  <si>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</si>
  <si>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</si>
  <si>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</si>
  <si>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</si>
  <si>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</si>
  <si>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</si>
  <si>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</si>
  <si>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</si>
  <si>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</si>
  <si>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</si>
  <si>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</si>
  <si>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</si>
  <si>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</si>
  <si>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</si>
  <si>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</si>
  <si>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</si>
  <si>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</si>
  <si>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</si>
  <si>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</si>
  <si>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</si>
  <si>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</si>
  <si>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</si>
  <si>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</si>
  <si>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</si>
  <si>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</si>
  <si>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</si>
  <si>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</si>
  <si>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</si>
  <si>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</si>
  <si>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</si>
  <si>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</si>
  <si>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</si>
  <si>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</si>
  <si>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</si>
  <si>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</si>
  <si>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</si>
  <si>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</si>
  <si>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</si>
  <si>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</si>
  <si>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</si>
  <si>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</si>
  <si>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</si>
  <si>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</si>
  <si>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</si>
  <si>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</si>
  <si>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</si>
  <si>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</si>
  <si>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</si>
  <si>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</si>
  <si>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</si>
  <si>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</si>
  <si>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</si>
  <si>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</si>
  <si>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</si>
  <si>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</si>
  <si>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</si>
  <si>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</si>
  <si>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</si>
  <si>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</si>
  <si>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</si>
  <si>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</si>
  <si>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</si>
  <si>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</si>
  <si>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</si>
  <si>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</si>
  <si>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</si>
  <si>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</si>
  <si>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</si>
  <si>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</si>
  <si>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</si>
  <si>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</si>
  <si>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</si>
  <si>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</si>
  <si>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</si>
  <si>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</si>
  <si>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</si>
  <si>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</si>
  <si>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</si>
  <si>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</si>
  <si>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</si>
  <si>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</si>
  <si>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</si>
  <si>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</si>
  <si>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</si>
  <si>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</si>
  <si>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</si>
  <si>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</si>
  <si>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</si>
  <si>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</si>
  <si>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</si>
  <si>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</si>
  <si>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</si>
  <si>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</si>
  <si>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</si>
  <si>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</si>
  <si>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</si>
  <si>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</si>
  <si>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</si>
  <si>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</si>
  <si>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</si>
  <si>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</si>
  <si>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</si>
  <si>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</si>
  <si>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</si>
  <si>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</si>
  <si>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</si>
  <si>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</si>
  <si>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</si>
  <si>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</si>
  <si>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</si>
  <si>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</si>
  <si>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</si>
  <si>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</si>
  <si>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</si>
  <si>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</si>
  <si>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</si>
  <si>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</si>
  <si>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</si>
  <si>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</si>
  <si>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</si>
  <si>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</si>
  <si>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</si>
  <si>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</si>
  <si>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</si>
  <si>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</si>
  <si>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</si>
  <si>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</si>
  <si>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</si>
  <si>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</si>
  <si>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</si>
  <si>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</si>
  <si>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</si>
  <si>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</si>
  <si>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</si>
  <si>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</si>
  <si>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</si>
  <si>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</si>
  <si>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</si>
  <si>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</si>
  <si>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</si>
  <si>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</si>
  <si>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</si>
  <si>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</si>
  <si>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</si>
  <si>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</si>
  <si>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</si>
  <si>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</si>
  <si>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</si>
  <si>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</si>
  <si>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</si>
  <si>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</si>
  <si>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</si>
  <si>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</si>
  <si>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</si>
  <si>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</si>
  <si>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</si>
  <si>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</si>
  <si>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</si>
  <si>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</si>
  <si>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</si>
  <si>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</si>
  <si>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</si>
  <si>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</si>
  <si>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</si>
  <si>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</si>
  <si>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</si>
  <si>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</si>
  <si>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</si>
  <si>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</si>
  <si>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</si>
  <si>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</si>
  <si>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</si>
  <si>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</si>
  <si>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</si>
  <si>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</si>
  <si>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</si>
  <si>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</si>
  <si>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</si>
  <si>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</si>
  <si>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</si>
  <si>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</si>
  <si>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</si>
  <si>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</si>
  <si>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</si>
  <si>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</si>
  <si>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</si>
  <si>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</si>
  <si>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</si>
  <si>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</si>
  <si>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</si>
  <si>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</si>
  <si>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</si>
  <si>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</si>
  <si>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</si>
  <si>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</si>
  <si>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</si>
  <si>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</si>
  <si>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</si>
  <si>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</si>
  <si>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</si>
  <si>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</si>
  <si>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</si>
  <si>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</si>
  <si>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</si>
  <si>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</si>
  <si>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</si>
  <si>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</si>
  <si>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</si>
  <si>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</si>
  <si>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</si>
  <si>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</si>
  <si>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</si>
  <si>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</si>
  <si>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</si>
  <si>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</si>
  <si>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</si>
  <si>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</si>
  <si>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</si>
  <si>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</si>
  <si>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</si>
  <si>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</si>
  <si>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</si>
  <si>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</si>
  <si>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</si>
  <si>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</si>
  <si>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</si>
  <si>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</si>
  <si>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</si>
  <si>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</si>
  <si>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</si>
  <si>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</si>
  <si>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</si>
  <si>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</si>
  <si>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</si>
  <si>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</si>
  <si>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</si>
  <si>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</si>
  <si>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</si>
  <si>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</si>
  <si>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</si>
  <si>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</si>
  <si>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</si>
  <si>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</si>
  <si>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</si>
  <si>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</si>
  <si>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</si>
  <si>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</si>
  <si>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</si>
  <si>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</si>
  <si>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</si>
  <si>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</si>
  <si>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</si>
  <si>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</si>
  <si>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</si>
  <si>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</si>
  <si>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</si>
  <si>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</si>
  <si>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</si>
  <si>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</si>
  <si>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</si>
  <si>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</si>
  <si>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</si>
  <si>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</si>
  <si>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</si>
  <si>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</si>
  <si>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</si>
  <si>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</si>
  <si>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</si>
  <si>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</si>
  <si>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</si>
  <si>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</si>
  <si>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</si>
  <si>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</si>
  <si>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</si>
  <si>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</si>
  <si>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</si>
  <si>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</si>
  <si>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Number of Rows</t>
  </si>
  <si>
    <t>Number of Columns</t>
  </si>
  <si>
    <t>Blank Product</t>
  </si>
  <si>
    <t>Blank Current Price</t>
  </si>
  <si>
    <t>Blank Old Price</t>
  </si>
  <si>
    <t>Blank Discount</t>
  </si>
  <si>
    <t>Blank Review</t>
  </si>
  <si>
    <t>Blank Rating</t>
  </si>
  <si>
    <t>Duplicate Rows</t>
  </si>
  <si>
    <t>Non-numeric Count for Current Price</t>
  </si>
  <si>
    <t>Non-numeric Count for Old Price</t>
  </si>
  <si>
    <t>Non-numeric Count for Discount</t>
  </si>
  <si>
    <t>Non-numeric Count for Review</t>
  </si>
  <si>
    <t>Non-numeric Count for Rating</t>
  </si>
  <si>
    <t>Ratings outside 0–5</t>
  </si>
  <si>
    <t>Discounts outside 0–100%</t>
  </si>
  <si>
    <t>Negative review counts</t>
  </si>
  <si>
    <t>Current price &gt; Old price</t>
  </si>
  <si>
    <t>Price ranges / other ambiguous values</t>
  </si>
  <si>
    <t>Step</t>
  </si>
  <si>
    <t>Issue</t>
  </si>
  <si>
    <t>Rows Affected</t>
  </si>
  <si>
    <t>Action Taken</t>
  </si>
  <si>
    <t>Reason</t>
  </si>
  <si>
    <r>
      <t xml:space="preserve">Header typo </t>
    </r>
    <r>
      <rPr>
        <sz val="10"/>
        <color theme="1"/>
        <rFont val="Arial Unicode MS"/>
      </rPr>
      <t>Ratingd</t>
    </r>
  </si>
  <si>
    <t>All</t>
  </si>
  <si>
    <r>
      <t xml:space="preserve">Renamed to </t>
    </r>
    <r>
      <rPr>
        <sz val="10"/>
        <color theme="1"/>
        <rFont val="Arial Unicode MS"/>
      </rPr>
      <t>Rating</t>
    </r>
  </si>
  <si>
    <t>Consistent naming</t>
  </si>
  <si>
    <t>Negative reviews</t>
  </si>
  <si>
    <t>Converted to absolute values</t>
  </si>
  <si>
    <t>Review counts cannot be negative</t>
  </si>
  <si>
    <t>Blank ratings</t>
  </si>
  <si>
    <t>Retained as blank</t>
  </si>
  <si>
    <t>No justified imputation</t>
  </si>
  <si>
    <t>Duplicate rows</t>
  </si>
  <si>
    <t>Removed exact duplicates</t>
  </si>
  <si>
    <t>Prevent double-counting</t>
  </si>
  <si>
    <t>Price formatting</t>
  </si>
  <si>
    <t>Removed KSh and commas</t>
  </si>
  <si>
    <t>Converted to numeric</t>
  </si>
  <si>
    <t>Discount formatting</t>
  </si>
  <si>
    <t>Rating text</t>
  </si>
  <si>
    <t>Removed "out of 5"</t>
  </si>
  <si>
    <t>Converted to decimal</t>
  </si>
  <si>
    <t>Current Price</t>
  </si>
  <si>
    <t>Old Price</t>
  </si>
  <si>
    <t>Rating</t>
  </si>
  <si>
    <t>Price ranges</t>
  </si>
  <si>
    <t>Use midpoint</t>
  </si>
  <si>
    <t>Allows numerical analysis while retaining original value</t>
  </si>
  <si>
    <t>Rating check</t>
  </si>
  <si>
    <t>Discount Check</t>
  </si>
  <si>
    <t>Price check</t>
  </si>
  <si>
    <t>No action taken</t>
  </si>
  <si>
    <t>Data type already stored as a percentage</t>
  </si>
  <si>
    <t>Discount Amount</t>
  </si>
  <si>
    <t>Calculated Discount</t>
  </si>
  <si>
    <t>Discount Difference</t>
  </si>
  <si>
    <t>Discount comparison, there's a difference of 5% for a product(1/2/3 Seater Elastic Sofa Cover,Living Room/Home Decor Chair Cover-Grey). This is because the price range used was the midpoint for both old price and current price</t>
  </si>
  <si>
    <t>Rating Category</t>
  </si>
  <si>
    <t>Discount Category;</t>
  </si>
  <si>
    <t>Discount Category</t>
  </si>
  <si>
    <t>Price Category</t>
  </si>
  <si>
    <t>Price_Q1</t>
  </si>
  <si>
    <t>Price_Q3</t>
  </si>
  <si>
    <t>Engagement_Q3</t>
  </si>
  <si>
    <t>Engagement</t>
  </si>
  <si>
    <t>High discount + low rating</t>
  </si>
  <si>
    <t>High discount + low engagement</t>
  </si>
  <si>
    <t>Many reviews + average rating</t>
  </si>
  <si>
    <t>Strong engagement + excellent rating</t>
  </si>
  <si>
    <t>Assumption;
Poor &lt; 3
Average 3–4.5
Excellent &gt; 4.5
Missing</t>
  </si>
  <si>
    <t>Assumption;
Low &lt;20%
Medium 20%-40%
High &gt;40%</t>
  </si>
  <si>
    <t>Assumption
Low Price &lt;= 493
Medium Price 493 - 1699.5
High Price &gt; 1699.5
Missing</t>
  </si>
  <si>
    <r>
      <rPr>
        <b/>
        <sz val="14"/>
        <color theme="1"/>
        <rFont val="Aptos Narrow"/>
        <family val="2"/>
        <scheme val="minor"/>
      </rPr>
      <t>High discount + low engagement</t>
    </r>
    <r>
      <rPr>
        <sz val="11"/>
        <color theme="1"/>
        <rFont val="Aptos Narrow"/>
        <family val="2"/>
        <scheme val="minor"/>
      </rPr>
      <t xml:space="preserve"> flags products discounted heavily but still not getting many reviews. Shows that the discount is not sparking interest from the buyers</t>
    </r>
  </si>
  <si>
    <r>
      <rPr>
        <b/>
        <sz val="14"/>
        <color theme="1"/>
        <rFont val="Aptos Narrow"/>
        <family val="2"/>
        <scheme val="minor"/>
      </rPr>
      <t xml:space="preserve">High discount + Low rating </t>
    </r>
    <r>
      <rPr>
        <sz val="11"/>
        <color theme="1"/>
        <rFont val="Aptos Narrow"/>
        <family val="2"/>
        <scheme val="minor"/>
      </rPr>
      <t>flags for products being discounted heavily despite customers rating them poorly. Should be a red flag for sellers who should fix their product instead of masking the problem with a discount</t>
    </r>
  </si>
  <si>
    <r>
      <rPr>
        <b/>
        <sz val="14"/>
        <color theme="1"/>
        <rFont val="Aptos Narrow"/>
        <family val="2"/>
        <scheme val="minor"/>
      </rPr>
      <t>Many reviews + average rating</t>
    </r>
    <r>
      <rPr>
        <sz val="11"/>
        <color theme="1"/>
        <rFont val="Aptos Narrow"/>
        <family val="2"/>
        <scheme val="minor"/>
      </rPr>
      <t xml:space="preserve"> flags products that have strong engagement and are popular but are in the middle in terms of ratings. If sellers were to improve a few things, it can easily be rated 'excellent'</t>
    </r>
  </si>
  <si>
    <r>
      <rPr>
        <b/>
        <sz val="14"/>
        <color theme="1"/>
        <rFont val="Aptos Narrow"/>
        <family val="2"/>
        <scheme val="minor"/>
      </rPr>
      <t>Strong engagement + excellent rating</t>
    </r>
    <r>
      <rPr>
        <sz val="11"/>
        <color theme="1"/>
        <rFont val="Aptos Narrow"/>
        <family val="2"/>
        <scheme val="minor"/>
      </rPr>
      <t xml:space="preserve"> flags the best performers(Green flag). These are popular products and best performing in terms of ratings, and can be used as a benchmark for other poor performing products.</t>
    </r>
  </si>
  <si>
    <t>Note; For price range, I maintained the data type as text, then got the midpoint and replaced the value(the range), instead of having new columns</t>
  </si>
  <si>
    <t>Data-Quality Audit</t>
  </si>
  <si>
    <t>Analysis</t>
  </si>
  <si>
    <t>Descriptive statistics and KPIs</t>
  </si>
  <si>
    <t>Total Reviews</t>
  </si>
  <si>
    <t>Maximum Price</t>
  </si>
  <si>
    <t>Minimum Price</t>
  </si>
  <si>
    <t>Total products</t>
  </si>
  <si>
    <t>Average current price</t>
  </si>
  <si>
    <t>Average old price</t>
  </si>
  <si>
    <t>Average discount</t>
  </si>
  <si>
    <t>Average rating</t>
  </si>
  <si>
    <t>Most Expensive Product</t>
  </si>
  <si>
    <t>Least Expensive Product</t>
  </si>
  <si>
    <t>Correlation Analysis</t>
  </si>
  <si>
    <t>1. Discount vs Reviews</t>
  </si>
  <si>
    <t>2. Rating vs Reviews</t>
  </si>
  <si>
    <t>3. Price vs Rating</t>
  </si>
  <si>
    <t>Positive → Higher discounts tend to occur with higher reviews</t>
  </si>
  <si>
    <t>Negative → Higher discounts tend to occur with lower reviews</t>
  </si>
  <si>
    <t>Near zero → Little linear relationship</t>
  </si>
  <si>
    <t>Notes</t>
  </si>
  <si>
    <t>Scatter Plot</t>
  </si>
  <si>
    <t>Graph 1 - Discount vs Reviews</t>
  </si>
  <si>
    <t>y = -16.43x + 19.086</t>
  </si>
  <si>
    <t>R² = 0.0187</t>
  </si>
  <si>
    <t>Negative slope → as discount increases, reviews tend to decrease slightly.</t>
  </si>
  <si>
    <r>
      <t xml:space="preserve">But R² = 0.0187 means the linear model explains only </t>
    </r>
    <r>
      <rPr>
        <b/>
        <sz val="11"/>
        <color theme="1"/>
        <rFont val="Aptos Narrow"/>
        <family val="2"/>
        <scheme val="minor"/>
      </rPr>
      <t>1.87% of the variation</t>
    </r>
    <r>
      <rPr>
        <sz val="11"/>
        <color theme="1"/>
        <rFont val="Aptos Narrow"/>
        <family val="2"/>
        <scheme val="minor"/>
      </rPr>
      <t xml:space="preserve"> in reviews.</t>
    </r>
  </si>
  <si>
    <t>Interpretation:</t>
  </si>
  <si>
    <t>There is a very weak negative relationship between discount and number of reviews. The extremely low R² value suggests that discount has little linear association with customer engagement in this dataset.</t>
  </si>
  <si>
    <t>y = 0.8613x + 9.3342</t>
  </si>
  <si>
    <t>R² = 0.0033</t>
  </si>
  <si>
    <t>Positive slope → higher ratings are associated with slightly higher reviews.</t>
  </si>
  <si>
    <r>
      <t xml:space="preserve">But R² = 0.0033 means only </t>
    </r>
    <r>
      <rPr>
        <b/>
        <sz val="11"/>
        <color theme="1"/>
        <rFont val="Aptos Narrow"/>
        <family val="2"/>
        <scheme val="minor"/>
      </rPr>
      <t>0.33% of the variation</t>
    </r>
    <r>
      <rPr>
        <sz val="11"/>
        <color theme="1"/>
        <rFont val="Aptos Narrow"/>
        <family val="2"/>
        <scheme val="minor"/>
      </rPr>
      <t xml:space="preserve"> is explained.</t>
    </r>
  </si>
  <si>
    <t>There is a negligible positive relationship between rating and number of reviews. The R² value is extremely close to zero, indicating virtually no meaningful linear relationship.</t>
  </si>
  <si>
    <t>y = 0.0001x + 3.7363</t>
  </si>
  <si>
    <t>R² = 0.0121</t>
  </si>
  <si>
    <r>
      <t xml:space="preserve">R² = 0.0121 means only </t>
    </r>
    <r>
      <rPr>
        <b/>
        <sz val="11"/>
        <color theme="1"/>
        <rFont val="Aptos Narrow"/>
        <family val="2"/>
        <scheme val="minor"/>
      </rPr>
      <t>1.21% of the variation</t>
    </r>
    <r>
      <rPr>
        <sz val="11"/>
        <color theme="1"/>
        <rFont val="Aptos Narrow"/>
        <family val="2"/>
        <scheme val="minor"/>
      </rPr>
      <t xml:space="preserve"> in ratings is explained by price.</t>
    </r>
  </si>
  <si>
    <t>There is a negligible positive relationship between current price and rating. The very small slope and low R² value indicate that price has virtually no meaningful linear relationship with product ratings in this dataset.</t>
  </si>
  <si>
    <t>Graph 2 - Rating vs Reviews</t>
  </si>
  <si>
    <t>Graph 3 - Current Price vs Rating</t>
  </si>
  <si>
    <t>Technically positive slope. However, the slope is extremely close to zero.</t>
  </si>
  <si>
    <t>Row Labels</t>
  </si>
  <si>
    <t>Grand Total</t>
  </si>
  <si>
    <t>Average of Rating</t>
  </si>
  <si>
    <t>Ranked Tables</t>
  </si>
  <si>
    <t>TOP 5 PRODUCTS BY RATING</t>
  </si>
  <si>
    <t>Sum of Review</t>
  </si>
  <si>
    <t>Rating Status</t>
  </si>
  <si>
    <t>Has Rating</t>
  </si>
  <si>
    <t>BOTTOM 5 PRODUCTS BY RATING</t>
  </si>
  <si>
    <t>TOP 10 PRODUCTS BY DISCOUNT</t>
  </si>
  <si>
    <t>Average of Discount</t>
  </si>
  <si>
    <t>TOP 10 PRODUCTS BY REVIEW</t>
  </si>
  <si>
    <t>TOP 10 PRODUCTS BY RATING</t>
  </si>
  <si>
    <t>PRODUCTS WITH HIGH DISCOUNTS BUT LOW RATINGS</t>
  </si>
  <si>
    <t>High Discount</t>
  </si>
  <si>
    <t>Poor</t>
  </si>
  <si>
    <t>PRODUCTS WITH HIGH DISCOUNTS BUT LOW ENGAGEMENT</t>
  </si>
  <si>
    <t>Weak Engagement</t>
  </si>
  <si>
    <t>PRODUCTS WITH MANY REVIEWS BUT AVERAGE RATINGS</t>
  </si>
  <si>
    <t>Average</t>
  </si>
  <si>
    <t>Strong Engagement</t>
  </si>
  <si>
    <t>PIVOT TABLES AND PIVOT CHARTS</t>
  </si>
  <si>
    <t>TABLE 1: RATING MIX</t>
  </si>
  <si>
    <t>Excellent</t>
  </si>
  <si>
    <t>Missing</t>
  </si>
  <si>
    <t>Count of Product</t>
  </si>
  <si>
    <t>TABLE 2: DISCOUNT MIX</t>
  </si>
  <si>
    <t>Low Discount</t>
  </si>
  <si>
    <t>Medium Discount</t>
  </si>
  <si>
    <t>TABLE 3: PRICE VS RATING</t>
  </si>
  <si>
    <t>High Price</t>
  </si>
  <si>
    <t>Low Price</t>
  </si>
  <si>
    <t>Medium Price</t>
  </si>
  <si>
    <t>TABLE: ENGAGEMENT BY DISCOUNT</t>
  </si>
  <si>
    <t>TABLE 5: TOP PRODUCTS BY RATING</t>
  </si>
  <si>
    <t>TABLE 6: TOP PRODUCTS BY REVIEWS</t>
  </si>
  <si>
    <t>TABLE 7: TOP PRODUCTS BY DISCOUNT</t>
  </si>
  <si>
    <t>Discount category</t>
  </si>
  <si>
    <t>Average Discount</t>
  </si>
  <si>
    <t xml:space="preserve">TOP 10 PRODUCTS BY RATING </t>
  </si>
  <si>
    <t xml:space="preserve">TOP 10 PRODUCTS BY REVIEWS </t>
  </si>
  <si>
    <t>RATING MIX</t>
  </si>
  <si>
    <t>DISCOUNT MIX</t>
  </si>
  <si>
    <t xml:space="preserve">KEY INSIGHTS / RECOMMENDATIONS       </t>
  </si>
  <si>
    <r>
      <rPr>
        <b/>
        <sz val="11"/>
        <color theme="1"/>
        <rFont val="Aptos Narrow"/>
        <family val="2"/>
        <scheme val="minor"/>
      </rPr>
      <t xml:space="preserve">Notes: Discount categories: </t>
    </r>
    <r>
      <rPr>
        <sz val="11"/>
        <color theme="1"/>
        <rFont val="Aptos Narrow"/>
        <family val="2"/>
        <scheme val="minor"/>
      </rPr>
      <t xml:space="preserve">Low &lt;20%, Medium 20–40%, High &gt;40%. </t>
    </r>
    <r>
      <rPr>
        <b/>
        <sz val="11"/>
        <color theme="1"/>
        <rFont val="Aptos Narrow"/>
        <family val="2"/>
        <scheme val="minor"/>
      </rPr>
      <t>Price categories</t>
    </r>
    <r>
      <rPr>
        <sz val="11"/>
        <color theme="1"/>
        <rFont val="Aptos Narrow"/>
        <family val="2"/>
        <scheme val="minor"/>
      </rPr>
      <t xml:space="preserve"> based on quartiles (Q1/Q3 of current price). </t>
    </r>
    <r>
      <rPr>
        <b/>
        <sz val="11"/>
        <color theme="1"/>
        <rFont val="Aptos Narrow"/>
        <family val="2"/>
        <scheme val="minor"/>
      </rPr>
      <t>Rating categories</t>
    </r>
    <r>
      <rPr>
        <sz val="11"/>
        <color theme="1"/>
        <rFont val="Aptos Narrow"/>
        <family val="2"/>
        <scheme val="minor"/>
      </rPr>
      <t xml:space="preserve">: Poor &lt;3, Average 3–4.5, Excellent &gt;4.5. </t>
    </r>
    <r>
      <rPr>
        <b/>
        <sz val="11"/>
        <color theme="1"/>
        <rFont val="Aptos Narrow"/>
        <family val="2"/>
        <scheme val="minor"/>
      </rPr>
      <t>Missing ratings/reviews</t>
    </r>
    <r>
      <rPr>
        <sz val="11"/>
        <color theme="1"/>
        <rFont val="Aptos Narrow"/>
        <family val="2"/>
        <scheme val="minor"/>
      </rPr>
      <t xml:space="preserve"> are excluded from averages and rankings, not treated as zero.</t>
    </r>
    <r>
      <rPr>
        <b/>
        <sz val="11"/>
        <color theme="1"/>
        <rFont val="Aptos Narrow"/>
        <family val="2"/>
        <scheme val="minor"/>
      </rPr>
      <t xml:space="preserve"> Review counts</t>
    </r>
    <r>
      <rPr>
        <sz val="11"/>
        <color theme="1"/>
        <rFont val="Aptos Narrow"/>
        <family val="2"/>
        <scheme val="minor"/>
      </rPr>
      <t xml:space="preserve"> are used as a proxy for customer engagement. This dataset does not include units sold or revenue, so patterns shown should not be read as sales performance.</t>
    </r>
  </si>
  <si>
    <t>Columns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</si>
</sst>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sh-441]\ #,##0.00"/>
    <numFmt numFmtId="165" formatCode="0.0"/>
  </numFmts>
  <fonts count="14">
    <font>
      <sz val="11"/>
      <color theme="1"/>
      <name val="Aptos Narrow"/>
      <family val="2"/>
      <scheme val="minor"/>
    </font>
    <font>
      <sz val="10"/>
      <color theme="1"/>
      <name val="Arial Unicode MS"/>
    </font>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b/>
      <i/>
      <sz val="11"/>
      <color theme="1"/>
      <name val="Aptos Narrow"/>
      <family val="2"/>
      <scheme val="minor"/>
    </font>
    <font>
      <b/>
      <sz val="14"/>
      <color rgb="FFFF0000"/>
      <name val="Aptos Narrow"/>
      <family val="2"/>
      <scheme val="minor"/>
    </font>
    <font>
      <sz val="12"/>
      <color rgb="FFFF0000"/>
      <name val="Aptos Narrow"/>
      <family val="2"/>
    </font>
    <font>
      <sz val="11"/>
      <color theme="1"/>
      <name val="Aptos Narrow"/>
      <family val="2"/>
    </font>
    <font>
      <b/>
      <sz val="11"/>
      <color rgb="FFFF0000"/>
      <name val="Aptos Narrow"/>
      <family val="2"/>
      <scheme val="minor"/>
    </font>
    <font>
      <b/>
      <sz val="11"/>
      <color theme="1"/>
      <name val="Aptos"/>
      <family val="2"/>
    </font>
    <font>
      <b/>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45">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xf>
    <xf numFmtId="0" fontId="4" fillId="0" borderId="0" xfId="0" applyFont="1" applyAlignment="1">
      <alignment horizontal="center" vertical="center" wrapText="1"/>
    </xf>
    <xf numFmtId="0" fontId="0" fillId="0" borderId="0" xfId="0" applyAlignment="1">
      <alignment horizontal="right" vertical="center" wrapText="1"/>
    </xf>
    <xf numFmtId="0" fontId="4" fillId="0" borderId="0" xfId="0" applyFont="1" applyAlignment="1">
      <alignment horizontal="right" vertical="center" wrapText="1"/>
    </xf>
    <xf numFmtId="9" fontId="0" fillId="0" borderId="0" xfId="1" applyFont="1"/>
    <xf numFmtId="164" fontId="0" fillId="0" borderId="0" xfId="0" applyNumberFormat="1"/>
    <xf numFmtId="9" fontId="0" fillId="2" borderId="0" xfId="1" applyFont="1" applyFill="1"/>
    <xf numFmtId="0" fontId="4" fillId="0" borderId="0" xfId="0" applyFont="1" applyAlignment="1">
      <alignment horizontal="center" vertical="center"/>
    </xf>
    <xf numFmtId="0" fontId="0" fillId="0" borderId="0" xfId="0" applyAlignment="1">
      <alignment wrapText="1"/>
    </xf>
    <xf numFmtId="164" fontId="0" fillId="0" borderId="0" xfId="0" applyNumberFormat="1" applyAlignment="1">
      <alignment wrapText="1"/>
    </xf>
    <xf numFmtId="9" fontId="0" fillId="0" borderId="0" xfId="1" applyFont="1" applyAlignment="1">
      <alignment wrapText="1"/>
    </xf>
    <xf numFmtId="0" fontId="0" fillId="0" borderId="0" xfId="0" applyAlignment="1">
      <alignment horizontal="right" wrapText="1"/>
    </xf>
    <xf numFmtId="0" fontId="0" fillId="0" borderId="0" xfId="0" applyAlignment="1">
      <alignment horizontal="right"/>
    </xf>
    <xf numFmtId="0" fontId="4" fillId="0" borderId="0" xfId="0" applyFont="1"/>
    <xf numFmtId="0" fontId="4" fillId="0" borderId="0" xfId="0" applyFont="1" applyAlignment="1">
      <alignment vertical="center" wrapText="1"/>
    </xf>
    <xf numFmtId="0" fontId="0" fillId="0" borderId="0" xfId="0" applyAlignment="1">
      <alignment vertical="top" wrapText="1"/>
    </xf>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center" vertical="top" wrapText="1"/>
    </xf>
    <xf numFmtId="0" fontId="7" fillId="0" borderId="0" xfId="0" applyFont="1" applyAlignment="1">
      <alignment vertical="center"/>
    </xf>
    <xf numFmtId="0" fontId="8" fillId="0" borderId="0" xfId="0" applyFont="1"/>
    <xf numFmtId="49" fontId="0" fillId="0" borderId="0" xfId="0" applyNumberFormat="1"/>
    <xf numFmtId="0" fontId="9" fillId="0" borderId="0" xfId="0" applyFont="1" applyAlignment="1">
      <alignment vertical="center"/>
    </xf>
    <xf numFmtId="0" fontId="10" fillId="0" borderId="0" xfId="0" applyFont="1"/>
    <xf numFmtId="0" fontId="11" fillId="0" borderId="0" xfId="0" applyFont="1"/>
    <xf numFmtId="0" fontId="0" fillId="0" borderId="0" xfId="0" applyAlignment="1">
      <alignment horizontal="left" vertical="center" indent="1"/>
    </xf>
    <xf numFmtId="0" fontId="3" fillId="0" borderId="0" xfId="0" applyFont="1"/>
    <xf numFmtId="0" fontId="0" fillId="0" borderId="0" xfId="0" pivotButton="1"/>
    <xf numFmtId="0" fontId="0" fillId="0" borderId="0" xfId="0" applyAlignment="1">
      <alignment horizontal="left"/>
    </xf>
    <xf numFmtId="0" fontId="4" fillId="0" borderId="0" xfId="0" applyFont="1" applyAlignment="1">
      <alignment horizontal="left"/>
    </xf>
    <xf numFmtId="9" fontId="0" fillId="0" borderId="0" xfId="0" applyNumberFormat="1"/>
    <xf numFmtId="0" fontId="12" fillId="0" borderId="0" xfId="0" applyFont="1"/>
    <xf numFmtId="0" fontId="0" fillId="0" borderId="0" xfId="0" pivotButton="1" applyAlignment="1">
      <alignment wrapText="1"/>
    </xf>
    <xf numFmtId="0" fontId="13" fillId="0" borderId="0" xfId="0" applyFont="1"/>
    <xf numFmtId="165"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8"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left" vertical="center" wrapText="1"/>
    </xf>
    <xf numFmtId="0" fontId="3" fillId="0" borderId="0" xfId="0" applyFont="1" applyAlignment="1">
      <alignment horizontal="left" vertical="center" wrapText="1"/>
    </xf>
  </cellXfs>
  <cellStyles count="2">
    <cellStyle name="Normal" xfId="0" builtinId="0"/>
    <cellStyle name="Percent" xfId="1" builtinId="5"/>
  </cellStyles>
  <dxfs count="37">
    <dxf>
      <alignment wrapText="1"/>
    </dxf>
    <dxf>
      <alignment wrapText="1"/>
    </dxf>
    <dxf>
      <alignment wrapText="1"/>
    </dxf>
    <dxf>
      <alignment wrapText="1"/>
    </dxf>
    <dxf>
      <alignment wrapText="1"/>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3" formatCode="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indent="0" justifyLastLine="0" shrinkToFit="0" readingOrder="0"/>
    </dxf>
    <dxf>
      <numFmt numFmtId="0" formatCode="General"/>
      <alignment horizontal="right" vertical="bottom" textRotation="0" indent="0" justifyLastLine="0" shrinkToFit="0" readingOrder="0"/>
    </dxf>
    <dxf>
      <numFmt numFmtId="0" formatCode="General"/>
    </dxf>
    <dxf>
      <numFmt numFmtId="0" formatCode="General"/>
    </dxf>
    <dxf>
      <numFmt numFmtId="164" formatCode="[$Ksh-441]\ #,##0.00"/>
    </dxf>
    <dxf>
      <numFmt numFmtId="164" formatCode="[$Ksh-441]\ #,##0.00"/>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alignment horizontal="right"/>
    </dxf>
    <dxf>
      <alignment wrapText="0"/>
    </dxf>
    <dxf>
      <alignment wrapText="1"/>
    </dxf>
    <dxf>
      <alignment horizontal="right"/>
    </dxf>
    <dxf>
      <alignment wrapText="0"/>
    </dxf>
    <dxf>
      <alignment wrapText="1"/>
    </dxf>
    <dxf>
      <alignment horizontal="right"/>
    </dxf>
    <dxf>
      <alignment wrapText="0"/>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Discount vs Reviews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tblProducts!$E$1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8.9442686486619086E-2"/>
                  <c:y val="-0.1563549868766404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tblProducts!$D$2:$D$117</c:f>
              <c:numCache>
                <c:formatCode>0%</c:formatCode>
                <c:ptCount val="116"/>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tblProducts!$E$2:$E$117</c:f>
              <c:numCache>
                <c:formatCode>General</c:formatCode>
                <c:ptCount val="116"/>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0-CF25-4518-B65C-022BA7AE8130}"/>
            </c:ext>
          </c:extLst>
        </c:ser>
        <c:dLbls>
          <c:showLegendKey val="0"/>
          <c:showVal val="0"/>
          <c:showCatName val="0"/>
          <c:showSerName val="0"/>
          <c:showPercent val="0"/>
          <c:showBubbleSize val="0"/>
        </c:dLbls>
        <c:axId val="1953900591"/>
        <c:axId val="1787852063"/>
      </c:scatterChart>
      <c:valAx>
        <c:axId val="1953900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852063"/>
        <c:crosses val="autoZero"/>
        <c:crossBetween val="midCat"/>
      </c:valAx>
      <c:valAx>
        <c:axId val="1787852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00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Rating vs Reviews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tblProducts!$F$1</c:f>
              <c:strCache>
                <c:ptCount val="1"/>
                <c:pt idx="0">
                  <c:v>Rating</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1204243375272043"/>
                  <c:y val="-5.917282623794588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tblProducts!$F$2:$F$117</c:f>
              <c:numCache>
                <c:formatCode>General</c:formatCode>
                <c:ptCount val="116"/>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xVal>
          <c:yVal>
            <c:numRef>
              <c:f>tblProducts!$E$2:$E$117</c:f>
              <c:numCache>
                <c:formatCode>General</c:formatCode>
                <c:ptCount val="116"/>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0-2706-4339-910B-2997313800FA}"/>
            </c:ext>
          </c:extLst>
        </c:ser>
        <c:dLbls>
          <c:showLegendKey val="0"/>
          <c:showVal val="0"/>
          <c:showCatName val="0"/>
          <c:showSerName val="0"/>
          <c:showPercent val="0"/>
          <c:showBubbleSize val="0"/>
        </c:dLbls>
        <c:axId val="2132770815"/>
        <c:axId val="1787856863"/>
      </c:scatterChart>
      <c:valAx>
        <c:axId val="2132770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856863"/>
        <c:crosses val="autoZero"/>
        <c:crossBetween val="midCat"/>
      </c:valAx>
      <c:valAx>
        <c:axId val="1787856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70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Price vs Rating</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tblProducts!$F$1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7246719160104987E-2"/>
                  <c:y val="0.27546916010498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tblProducts!$B$2:$B$117</c:f>
              <c:numCache>
                <c:formatCode>[$Ksh-441]\ #,##0.00</c:formatCode>
                <c:ptCount val="116"/>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tblProducts!$F$2:$F$117</c:f>
              <c:numCache>
                <c:formatCode>General</c:formatCode>
                <c:ptCount val="116"/>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479E-4D49-AFC5-D80F0FD2528E}"/>
            </c:ext>
          </c:extLst>
        </c:ser>
        <c:dLbls>
          <c:showLegendKey val="0"/>
          <c:showVal val="0"/>
          <c:showCatName val="0"/>
          <c:showSerName val="0"/>
          <c:showPercent val="0"/>
          <c:showBubbleSize val="0"/>
        </c:dLbls>
        <c:axId val="2129355679"/>
        <c:axId val="1953683359"/>
      </c:scatterChart>
      <c:valAx>
        <c:axId val="21293556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sh-441]\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953683359"/>
        <c:crosses val="autoZero"/>
        <c:crossBetween val="midCat"/>
      </c:valAx>
      <c:valAx>
        <c:axId val="1953683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556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Dashboard.xlsx]Pivot Tables!PivotTable18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55-4561-8007-FF639E065C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55-4561-8007-FF639E065C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55-4561-8007-FF639E065C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55-4561-8007-FF639E065C26}"/>
              </c:ext>
            </c:extLst>
          </c:dPt>
          <c:cat>
            <c:strRef>
              <c:f>'Pivot Tables'!$A$14:$A$18</c:f>
              <c:strCache>
                <c:ptCount val="4"/>
                <c:pt idx="0">
                  <c:v>Average</c:v>
                </c:pt>
                <c:pt idx="1">
                  <c:v>Excellent</c:v>
                </c:pt>
                <c:pt idx="2">
                  <c:v>Missing</c:v>
                </c:pt>
                <c:pt idx="3">
                  <c:v>Poor</c:v>
                </c:pt>
              </c:strCache>
            </c:strRef>
          </c:cat>
          <c:val>
            <c:numRef>
              <c:f>'Pivot Tables'!$B$14:$B$18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0-617D-4EC8-84FE-4A8C4D4CA3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[Jumia Product Performance Dashboard.xlsx]Pivot Tables!PivotTable19</c:name>
    <c:fmtId val="1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Tables'!$F$13</c:f>
              <c:strCache>
                <c:ptCount val="1"/>
                <c:pt idx="0">
                  <c:v>Total</c:v>
                </c:pt>
              </c:strCache>
            </c:strRef>
          </c:tx>
          <c:spPr>
            <a:solidFill>
              <a:schemeClr val="accent6"/>
            </a:solidFill>
            <a:ln>
              <a:noFill/>
            </a:ln>
            <a:effectLst/>
          </c:spPr>
          <c:invertIfNegative val="0"/>
          <c:cat>
            <c:strRef>
              <c:f>'Pivot Tables'!$E$14:$E$17</c:f>
              <c:strCache>
                <c:ptCount val="3"/>
                <c:pt idx="0">
                  <c:v>High Discount</c:v>
                </c:pt>
                <c:pt idx="1">
                  <c:v>Medium Discount</c:v>
                </c:pt>
                <c:pt idx="2">
                  <c:v>Low Discount</c:v>
                </c:pt>
              </c:strCache>
            </c:strRef>
          </c:cat>
          <c:val>
            <c:numRef>
              <c:f>'Pivot Tables'!$F$14:$F$17</c:f>
              <c:numCache>
                <c:formatCode>General</c:formatCode>
                <c:ptCount val="3"/>
                <c:pt idx="0">
                  <c:v>62</c:v>
                </c:pt>
                <c:pt idx="1">
                  <c:v>32</c:v>
                </c:pt>
                <c:pt idx="2">
                  <c:v>18</c:v>
                </c:pt>
              </c:numCache>
            </c:numRef>
          </c:val>
          <c:extLst>
            <c:ext xmlns:c16="http://schemas.microsoft.com/office/drawing/2014/chart" uri="{C3380CC4-5D6E-409C-BE32-E72D297353CC}">
              <c16:uniqueId val="{00000000-3739-44C4-B71E-B35B2DE3B994}"/>
            </c:ext>
          </c:extLst>
        </c:ser>
        <c:dLbls>
          <c:showLegendKey val="0"/>
          <c:showVal val="0"/>
          <c:showCatName val="0"/>
          <c:showSerName val="0"/>
          <c:showPercent val="0"/>
          <c:showBubbleSize val="0"/>
        </c:dLbls>
        <c:gapWidth val="219"/>
        <c:overlap val="-27"/>
        <c:axId val="82610336"/>
        <c:axId val="1953641119"/>
      </c:barChart>
      <c:catAx>
        <c:axId val="826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41119"/>
        <c:crosses val="autoZero"/>
        <c:auto val="1"/>
        <c:lblAlgn val="ctr"/>
        <c:lblOffset val="100"/>
        <c:noMultiLvlLbl val="0"/>
      </c:catAx>
      <c:valAx>
        <c:axId val="195364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1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Dashboard.xlsx]Pivot Tables!PivotTable20</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Tables'!$J$13</c:f>
              <c:strCache>
                <c:ptCount val="1"/>
                <c:pt idx="0">
                  <c:v>Total</c:v>
                </c:pt>
              </c:strCache>
            </c:strRef>
          </c:tx>
          <c:spPr>
            <a:solidFill>
              <a:schemeClr val="accent6"/>
            </a:solidFill>
            <a:ln>
              <a:noFill/>
            </a:ln>
            <a:effectLst/>
          </c:spPr>
          <c:invertIfNegative val="0"/>
          <c:cat>
            <c:strRef>
              <c:f>'Pivot Tables'!$I$14:$I$17</c:f>
              <c:strCache>
                <c:ptCount val="3"/>
                <c:pt idx="0">
                  <c:v>High Price</c:v>
                </c:pt>
                <c:pt idx="1">
                  <c:v>Medium Price</c:v>
                </c:pt>
                <c:pt idx="2">
                  <c:v>Low Price</c:v>
                </c:pt>
              </c:strCache>
            </c:strRef>
          </c:cat>
          <c:val>
            <c:numRef>
              <c:f>'Pivot Tables'!$J$14:$J$17</c:f>
              <c:numCache>
                <c:formatCode>General</c:formatCode>
                <c:ptCount val="3"/>
                <c:pt idx="0">
                  <c:v>4.0842105263157888</c:v>
                </c:pt>
                <c:pt idx="1">
                  <c:v>3.8833333333333333</c:v>
                </c:pt>
                <c:pt idx="2">
                  <c:v>3.6357142857142857</c:v>
                </c:pt>
              </c:numCache>
            </c:numRef>
          </c:val>
          <c:extLst>
            <c:ext xmlns:c16="http://schemas.microsoft.com/office/drawing/2014/chart" uri="{C3380CC4-5D6E-409C-BE32-E72D297353CC}">
              <c16:uniqueId val="{00000000-C7F1-4403-BA15-DEC642F4DB96}"/>
            </c:ext>
          </c:extLst>
        </c:ser>
        <c:dLbls>
          <c:showLegendKey val="0"/>
          <c:showVal val="0"/>
          <c:showCatName val="0"/>
          <c:showSerName val="0"/>
          <c:showPercent val="0"/>
          <c:showBubbleSize val="0"/>
        </c:dLbls>
        <c:gapWidth val="219"/>
        <c:overlap val="-27"/>
        <c:axId val="82627040"/>
        <c:axId val="1693744287"/>
      </c:barChart>
      <c:catAx>
        <c:axId val="8262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744287"/>
        <c:crosses val="autoZero"/>
        <c:auto val="1"/>
        <c:lblAlgn val="ctr"/>
        <c:lblOffset val="100"/>
        <c:noMultiLvlLbl val="0"/>
      </c:catAx>
      <c:valAx>
        <c:axId val="169374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Dashboard.xlsx]Pivot Tables!PivotTable21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Tables'!$O$13</c:f>
              <c:strCache>
                <c:ptCount val="1"/>
                <c:pt idx="0">
                  <c:v>Total</c:v>
                </c:pt>
              </c:strCache>
            </c:strRef>
          </c:tx>
          <c:spPr>
            <a:solidFill>
              <a:schemeClr val="accent1"/>
            </a:solidFill>
            <a:ln>
              <a:noFill/>
            </a:ln>
            <a:effectLst/>
          </c:spPr>
          <c:invertIfNegative val="0"/>
          <c:cat>
            <c:strRef>
              <c:f>'Pivot Tables'!$N$14:$N$17</c:f>
              <c:strCache>
                <c:ptCount val="3"/>
                <c:pt idx="0">
                  <c:v>Medium Discount</c:v>
                </c:pt>
                <c:pt idx="1">
                  <c:v>High Discount</c:v>
                </c:pt>
                <c:pt idx="2">
                  <c:v>Low Discount</c:v>
                </c:pt>
              </c:strCache>
            </c:strRef>
          </c:cat>
          <c:val>
            <c:numRef>
              <c:f>'Pivot Tables'!$O$14:$O$17</c:f>
              <c:numCache>
                <c:formatCode>General</c:formatCode>
                <c:ptCount val="3"/>
                <c:pt idx="0">
                  <c:v>351</c:v>
                </c:pt>
                <c:pt idx="1">
                  <c:v>334</c:v>
                </c:pt>
                <c:pt idx="2">
                  <c:v>38</c:v>
                </c:pt>
              </c:numCache>
            </c:numRef>
          </c:val>
          <c:extLst>
            <c:ext xmlns:c16="http://schemas.microsoft.com/office/drawing/2014/chart" uri="{C3380CC4-5D6E-409C-BE32-E72D297353CC}">
              <c16:uniqueId val="{00000000-A5FC-4D27-9696-74E48009950A}"/>
            </c:ext>
          </c:extLst>
        </c:ser>
        <c:dLbls>
          <c:showLegendKey val="0"/>
          <c:showVal val="0"/>
          <c:showCatName val="0"/>
          <c:showSerName val="0"/>
          <c:showPercent val="0"/>
          <c:showBubbleSize val="0"/>
        </c:dLbls>
        <c:gapWidth val="219"/>
        <c:overlap val="-27"/>
        <c:axId val="2132793087"/>
        <c:axId val="1693759647"/>
      </c:barChart>
      <c:catAx>
        <c:axId val="213279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759647"/>
        <c:crosses val="autoZero"/>
        <c:auto val="1"/>
        <c:lblAlgn val="ctr"/>
        <c:lblOffset val="100"/>
        <c:noMultiLvlLbl val="0"/>
      </c:catAx>
      <c:valAx>
        <c:axId val="169375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9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Dashboard.xlsx]Pivot Tables!PivotTable22</c:name>
    <c:fmtId val="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c:f>
              <c:strCache>
                <c:ptCount val="1"/>
                <c:pt idx="0">
                  <c:v>Total</c:v>
                </c:pt>
              </c:strCache>
            </c:strRef>
          </c:tx>
          <c:spPr>
            <a:solidFill>
              <a:schemeClr val="accent6"/>
            </a:solidFill>
            <a:ln>
              <a:noFill/>
            </a:ln>
            <a:effectLst/>
          </c:spPr>
          <c:invertIfNegative val="0"/>
          <c:cat>
            <c:strRef>
              <c:f>'Pivot Tables'!$A$35:$A$45</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Tables'!$B$35:$B$45</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181B-4548-82A1-330A28C3FA69}"/>
            </c:ext>
          </c:extLst>
        </c:ser>
        <c:dLbls>
          <c:showLegendKey val="0"/>
          <c:showVal val="0"/>
          <c:showCatName val="0"/>
          <c:showSerName val="0"/>
          <c:showPercent val="0"/>
          <c:showBubbleSize val="0"/>
        </c:dLbls>
        <c:gapWidth val="182"/>
        <c:axId val="1866561295"/>
        <c:axId val="1787914463"/>
      </c:barChart>
      <c:catAx>
        <c:axId val="186656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14463"/>
        <c:crosses val="autoZero"/>
        <c:auto val="1"/>
        <c:lblAlgn val="ctr"/>
        <c:lblOffset val="100"/>
        <c:noMultiLvlLbl val="0"/>
      </c:catAx>
      <c:valAx>
        <c:axId val="1787914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56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Dashboard.xlsx]Pivot Tables!PivotTable23</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Tables'!$F$34</c:f>
              <c:strCache>
                <c:ptCount val="1"/>
                <c:pt idx="0">
                  <c:v>Total</c:v>
                </c:pt>
              </c:strCache>
            </c:strRef>
          </c:tx>
          <c:spPr>
            <a:solidFill>
              <a:schemeClr val="accent6"/>
            </a:solidFill>
            <a:ln>
              <a:noFill/>
            </a:ln>
            <a:effectLst/>
          </c:spPr>
          <c:invertIfNegative val="0"/>
          <c:cat>
            <c:strRef>
              <c:f>'Pivot Tables'!$E$35:$E$45</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Tables'!$F$35:$F$45</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2A8E-4842-B14E-A19FD881EE27}"/>
            </c:ext>
          </c:extLst>
        </c:ser>
        <c:dLbls>
          <c:showLegendKey val="0"/>
          <c:showVal val="0"/>
          <c:showCatName val="0"/>
          <c:showSerName val="0"/>
          <c:showPercent val="0"/>
          <c:showBubbleSize val="0"/>
        </c:dLbls>
        <c:gapWidth val="182"/>
        <c:axId val="82647456"/>
        <c:axId val="1693758207"/>
      </c:barChart>
      <c:catAx>
        <c:axId val="8264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758207"/>
        <c:crosses val="autoZero"/>
        <c:auto val="1"/>
        <c:lblAlgn val="ctr"/>
        <c:lblOffset val="100"/>
        <c:noMultiLvlLbl val="0"/>
      </c:catAx>
      <c:valAx>
        <c:axId val="169375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Dashboard.xlsx]Pivot Tables!PivotTable24</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Tables'!$J$34</c:f>
              <c:strCache>
                <c:ptCount val="1"/>
                <c:pt idx="0">
                  <c:v>Total</c:v>
                </c:pt>
              </c:strCache>
            </c:strRef>
          </c:tx>
          <c:spPr>
            <a:solidFill>
              <a:schemeClr val="accent6"/>
            </a:solidFill>
            <a:ln>
              <a:noFill/>
            </a:ln>
            <a:effectLst/>
          </c:spPr>
          <c:invertIfNegative val="0"/>
          <c:cat>
            <c:strRef>
              <c:f>'Pivot Tables'!$I$35:$I$45</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 Tables'!$J$35:$J$45</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D86A-48BC-894E-D0124078F6C8}"/>
            </c:ext>
          </c:extLst>
        </c:ser>
        <c:dLbls>
          <c:showLegendKey val="0"/>
          <c:showVal val="0"/>
          <c:showCatName val="0"/>
          <c:showSerName val="0"/>
          <c:showPercent val="0"/>
          <c:showBubbleSize val="0"/>
        </c:dLbls>
        <c:gapWidth val="182"/>
        <c:axId val="119654192"/>
        <c:axId val="1953658399"/>
      </c:barChart>
      <c:catAx>
        <c:axId val="11965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58399"/>
        <c:crosses val="autoZero"/>
        <c:auto val="1"/>
        <c:lblAlgn val="ctr"/>
        <c:lblOffset val="100"/>
        <c:noMultiLvlLbl val="0"/>
      </c:catAx>
      <c:valAx>
        <c:axId val="19536583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5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Discount vs Reviews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tblProducts!$E$1</c:f>
              <c:strCache>
                <c:ptCount val="1"/>
                <c:pt idx="0">
                  <c:v>Review</c:v>
                </c:pt>
              </c:strCache>
            </c:strRef>
          </c:tx>
          <c:spPr>
            <a:ln w="381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1"/>
            <c:dispEq val="1"/>
            <c:trendlineLbl>
              <c:layout>
                <c:manualLayout>
                  <c:x val="8.9442686486619086E-2"/>
                  <c:y val="-0.1563549868766404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tblProducts!$D$2:$D$117</c:f>
              <c:numCache>
                <c:formatCode>0%</c:formatCode>
                <c:ptCount val="116"/>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tblProducts!$E$2:$E$117</c:f>
              <c:numCache>
                <c:formatCode>General</c:formatCode>
                <c:ptCount val="116"/>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3-9FB4-4EFA-A8B1-1C12810F4F68}"/>
            </c:ext>
          </c:extLst>
        </c:ser>
        <c:dLbls>
          <c:showLegendKey val="0"/>
          <c:showVal val="0"/>
          <c:showCatName val="0"/>
          <c:showSerName val="0"/>
          <c:showPercent val="0"/>
          <c:showBubbleSize val="0"/>
        </c:dLbls>
        <c:axId val="1953900591"/>
        <c:axId val="1787852063"/>
      </c:scatterChart>
      <c:valAx>
        <c:axId val="1953900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852063"/>
        <c:crosses val="autoZero"/>
        <c:crossBetween val="midCat"/>
      </c:valAx>
      <c:valAx>
        <c:axId val="1787852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00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Rating vs Reviews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tblProducts!$F$1</c:f>
              <c:strCache>
                <c:ptCount val="1"/>
                <c:pt idx="0">
                  <c:v>Rating</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1"/>
            <c:dispEq val="1"/>
            <c:trendlineLbl>
              <c:layout>
                <c:manualLayout>
                  <c:x val="-0.41204243375272043"/>
                  <c:y val="-5.917282623794588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tblProducts!$F$2:$F$117</c:f>
              <c:numCache>
                <c:formatCode>General</c:formatCode>
                <c:ptCount val="116"/>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xVal>
          <c:yVal>
            <c:numRef>
              <c:f>tblProducts!$E$2:$E$117</c:f>
              <c:numCache>
                <c:formatCode>General</c:formatCode>
                <c:ptCount val="116"/>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1-2E7E-408C-8619-FD6F611A4537}"/>
            </c:ext>
          </c:extLst>
        </c:ser>
        <c:dLbls>
          <c:showLegendKey val="0"/>
          <c:showVal val="0"/>
          <c:showCatName val="0"/>
          <c:showSerName val="0"/>
          <c:showPercent val="0"/>
          <c:showBubbleSize val="0"/>
        </c:dLbls>
        <c:axId val="2132770815"/>
        <c:axId val="1787856863"/>
      </c:scatterChart>
      <c:valAx>
        <c:axId val="2132770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856863"/>
        <c:crosses val="autoZero"/>
        <c:crossBetween val="midCat"/>
      </c:valAx>
      <c:valAx>
        <c:axId val="1787856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70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Price vs Rating</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tblProducts!$F$1</c:f>
              <c:strCache>
                <c:ptCount val="1"/>
                <c:pt idx="0">
                  <c:v>Rating</c:v>
                </c:pt>
              </c:strCache>
            </c:strRef>
          </c:tx>
          <c:spPr>
            <a:ln w="381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1"/>
            <c:dispEq val="1"/>
            <c:trendlineLbl>
              <c:layout>
                <c:manualLayout>
                  <c:x val="2.7246719160104987E-2"/>
                  <c:y val="0.27546916010498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tblProducts!$B$2:$B$117</c:f>
              <c:numCache>
                <c:formatCode>[$Ksh-441]\ #,##0.00</c:formatCode>
                <c:ptCount val="116"/>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tblProducts!$F$2:$F$117</c:f>
              <c:numCache>
                <c:formatCode>General</c:formatCode>
                <c:ptCount val="116"/>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1-FC6F-43EF-84E0-5B237D10A15E}"/>
            </c:ext>
          </c:extLst>
        </c:ser>
        <c:dLbls>
          <c:showLegendKey val="0"/>
          <c:showVal val="0"/>
          <c:showCatName val="0"/>
          <c:showSerName val="0"/>
          <c:showPercent val="0"/>
          <c:showBubbleSize val="0"/>
        </c:dLbls>
        <c:axId val="2129355679"/>
        <c:axId val="1953683359"/>
      </c:scatterChart>
      <c:valAx>
        <c:axId val="21293556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sh-441]\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953683359"/>
        <c:crosses val="autoZero"/>
        <c:crossBetween val="midCat"/>
      </c:valAx>
      <c:valAx>
        <c:axId val="1953683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556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Performance Dashboard.xlsx]Pivot Tables!PivotTable18</c:name>
    <c:fmtId val="5"/>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doughnutChart>
        <c:varyColors val="1"/>
        <c:ser>
          <c:idx val="0"/>
          <c:order val="0"/>
          <c:tx>
            <c:strRef>
              <c:f>'Pivot Tables'!$B$13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8C0-4B9A-9C8A-54AF9220030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8C0-4B9A-9C8A-54AF9220030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8C0-4B9A-9C8A-54AF92200300}"/>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8C0-4B9A-9C8A-54AF92200300}"/>
              </c:ext>
            </c:extLst>
          </c:dPt>
          <c:cat>
            <c:strRef>
              <c:f>'Pivot Tables'!$A$14:$A$18</c:f>
              <c:strCache>
                <c:ptCount val="4"/>
                <c:pt idx="0">
                  <c:v>Average</c:v>
                </c:pt>
                <c:pt idx="1">
                  <c:v>Excellent</c:v>
                </c:pt>
                <c:pt idx="2">
                  <c:v>Missing</c:v>
                </c:pt>
                <c:pt idx="3">
                  <c:v>Poor</c:v>
                </c:pt>
              </c:strCache>
            </c:strRef>
          </c:cat>
          <c:val>
            <c:numRef>
              <c:f>'Pivot Tables'!$B$14:$B$18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8-48C0-4B9A-9C8A-54AF922003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[Jumia Product Performance Dashboard.xlsx]Pivot Tables!PivotTable19</c:name>
    <c:fmtId val="1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Tables'!$F$13</c:f>
              <c:strCache>
                <c:ptCount val="1"/>
                <c:pt idx="0">
                  <c:v>Total</c:v>
                </c:pt>
              </c:strCache>
            </c:strRef>
          </c:tx>
          <c:spPr>
            <a:solidFill>
              <a:schemeClr val="accent6"/>
            </a:solidFill>
            <a:ln>
              <a:noFill/>
            </a:ln>
            <a:effectLst/>
          </c:spPr>
          <c:invertIfNegative val="0"/>
          <c:cat>
            <c:strRef>
              <c:f>'Pivot Tables'!$E$14:$E$17</c:f>
              <c:strCache>
                <c:ptCount val="3"/>
                <c:pt idx="0">
                  <c:v>High Discount</c:v>
                </c:pt>
                <c:pt idx="1">
                  <c:v>Medium Discount</c:v>
                </c:pt>
                <c:pt idx="2">
                  <c:v>Low Discount</c:v>
                </c:pt>
              </c:strCache>
            </c:strRef>
          </c:cat>
          <c:val>
            <c:numRef>
              <c:f>'Pivot Tables'!$F$14:$F$17</c:f>
              <c:numCache>
                <c:formatCode>General</c:formatCode>
                <c:ptCount val="3"/>
                <c:pt idx="0">
                  <c:v>62</c:v>
                </c:pt>
                <c:pt idx="1">
                  <c:v>32</c:v>
                </c:pt>
                <c:pt idx="2">
                  <c:v>18</c:v>
                </c:pt>
              </c:numCache>
            </c:numRef>
          </c:val>
          <c:extLst>
            <c:ext xmlns:c16="http://schemas.microsoft.com/office/drawing/2014/chart" uri="{C3380CC4-5D6E-409C-BE32-E72D297353CC}">
              <c16:uniqueId val="{00000000-7D9F-41F2-A089-EE668ACFC903}"/>
            </c:ext>
          </c:extLst>
        </c:ser>
        <c:dLbls>
          <c:showLegendKey val="0"/>
          <c:showVal val="0"/>
          <c:showCatName val="0"/>
          <c:showSerName val="0"/>
          <c:showPercent val="0"/>
          <c:showBubbleSize val="0"/>
        </c:dLbls>
        <c:gapWidth val="219"/>
        <c:overlap val="-27"/>
        <c:axId val="82610336"/>
        <c:axId val="1953641119"/>
      </c:barChart>
      <c:catAx>
        <c:axId val="826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641119"/>
        <c:crosses val="autoZero"/>
        <c:auto val="1"/>
        <c:lblAlgn val="ctr"/>
        <c:lblOffset val="100"/>
        <c:noMultiLvlLbl val="0"/>
      </c:catAx>
      <c:valAx>
        <c:axId val="195364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1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0</xdr:rowOff>
    </xdr:from>
    <xdr:to>
      <xdr:col>5</xdr:col>
      <xdr:colOff>0</xdr:colOff>
      <xdr:row>50</xdr:row>
      <xdr:rowOff>0</xdr:rowOff>
    </xdr:to>
    <xdr:graphicFrame macro="">
      <xdr:nvGraphicFramePr>
        <xdr:cNvPr id="5" name="Chart 4">
          <a:extLst>
            <a:ext uri="{FF2B5EF4-FFF2-40B4-BE49-F238E27FC236}">
              <a16:creationId xmlns:a16="http://schemas.microsoft.com/office/drawing/2014/main" id="{26EBC97C-2766-4225-8FFE-1E7667811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35</xdr:row>
      <xdr:rowOff>7620</xdr:rowOff>
    </xdr:from>
    <xdr:to>
      <xdr:col>13</xdr:col>
      <xdr:colOff>15240</xdr:colOff>
      <xdr:row>50</xdr:row>
      <xdr:rowOff>0</xdr:rowOff>
    </xdr:to>
    <xdr:graphicFrame macro="">
      <xdr:nvGraphicFramePr>
        <xdr:cNvPr id="6" name="Chart 5">
          <a:extLst>
            <a:ext uri="{FF2B5EF4-FFF2-40B4-BE49-F238E27FC236}">
              <a16:creationId xmlns:a16="http://schemas.microsoft.com/office/drawing/2014/main" id="{381D5324-DAC5-4BDB-860A-E7CDCAA8C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35</xdr:row>
      <xdr:rowOff>0</xdr:rowOff>
    </xdr:from>
    <xdr:to>
      <xdr:col>21</xdr:col>
      <xdr:colOff>304800</xdr:colOff>
      <xdr:row>50</xdr:row>
      <xdr:rowOff>0</xdr:rowOff>
    </xdr:to>
    <xdr:graphicFrame macro="">
      <xdr:nvGraphicFramePr>
        <xdr:cNvPr id="7" name="Chart 6">
          <a:extLst>
            <a:ext uri="{FF2B5EF4-FFF2-40B4-BE49-F238E27FC236}">
              <a16:creationId xmlns:a16="http://schemas.microsoft.com/office/drawing/2014/main" id="{CA688F00-7EA2-4AAA-8DE4-1BC472590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18</xdr:row>
      <xdr:rowOff>34290</xdr:rowOff>
    </xdr:from>
    <xdr:to>
      <xdr:col>2</xdr:col>
      <xdr:colOff>510540</xdr:colOff>
      <xdr:row>28</xdr:row>
      <xdr:rowOff>7620</xdr:rowOff>
    </xdr:to>
    <xdr:graphicFrame macro="">
      <xdr:nvGraphicFramePr>
        <xdr:cNvPr id="2" name="Chart 1">
          <a:extLst>
            <a:ext uri="{FF2B5EF4-FFF2-40B4-BE49-F238E27FC236}">
              <a16:creationId xmlns:a16="http://schemas.microsoft.com/office/drawing/2014/main" id="{E64744F9-37F7-6345-8146-DF796CA0D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17</xdr:row>
      <xdr:rowOff>22860</xdr:rowOff>
    </xdr:from>
    <xdr:to>
      <xdr:col>7</xdr:col>
      <xdr:colOff>30480</xdr:colOff>
      <xdr:row>28</xdr:row>
      <xdr:rowOff>175260</xdr:rowOff>
    </xdr:to>
    <xdr:graphicFrame macro="">
      <xdr:nvGraphicFramePr>
        <xdr:cNvPr id="3" name="Chart 2">
          <a:extLst>
            <a:ext uri="{FF2B5EF4-FFF2-40B4-BE49-F238E27FC236}">
              <a16:creationId xmlns:a16="http://schemas.microsoft.com/office/drawing/2014/main" id="{8731924D-DB1F-BEE7-5724-8599EE04F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xdr:colOff>
      <xdr:row>17</xdr:row>
      <xdr:rowOff>19050</xdr:rowOff>
    </xdr:from>
    <xdr:to>
      <xdr:col>12</xdr:col>
      <xdr:colOff>15240</xdr:colOff>
      <xdr:row>29</xdr:row>
      <xdr:rowOff>22860</xdr:rowOff>
    </xdr:to>
    <xdr:graphicFrame macro="">
      <xdr:nvGraphicFramePr>
        <xdr:cNvPr id="4" name="Chart 3">
          <a:extLst>
            <a:ext uri="{FF2B5EF4-FFF2-40B4-BE49-F238E27FC236}">
              <a16:creationId xmlns:a16="http://schemas.microsoft.com/office/drawing/2014/main" id="{E618E6D5-33B5-A3E0-CFFB-139E4363A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601980</xdr:colOff>
      <xdr:row>17</xdr:row>
      <xdr:rowOff>26670</xdr:rowOff>
    </xdr:from>
    <xdr:to>
      <xdr:col>18</xdr:col>
      <xdr:colOff>0</xdr:colOff>
      <xdr:row>29</xdr:row>
      <xdr:rowOff>0</xdr:rowOff>
    </xdr:to>
    <xdr:graphicFrame macro="">
      <xdr:nvGraphicFramePr>
        <xdr:cNvPr id="5" name="Chart 4">
          <a:extLst>
            <a:ext uri="{FF2B5EF4-FFF2-40B4-BE49-F238E27FC236}">
              <a16:creationId xmlns:a16="http://schemas.microsoft.com/office/drawing/2014/main" id="{4BCBFEDE-891D-6803-A43C-C3BA218F8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45</xdr:row>
      <xdr:rowOff>45720</xdr:rowOff>
    </xdr:from>
    <xdr:to>
      <xdr:col>2</xdr:col>
      <xdr:colOff>563880</xdr:colOff>
      <xdr:row>59</xdr:row>
      <xdr:rowOff>167640</xdr:rowOff>
    </xdr:to>
    <xdr:graphicFrame macro="">
      <xdr:nvGraphicFramePr>
        <xdr:cNvPr id="6" name="Chart 5">
          <a:extLst>
            <a:ext uri="{FF2B5EF4-FFF2-40B4-BE49-F238E27FC236}">
              <a16:creationId xmlns:a16="http://schemas.microsoft.com/office/drawing/2014/main" id="{F5B22111-2A82-14E2-C258-8B0420309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7620</xdr:colOff>
      <xdr:row>45</xdr:row>
      <xdr:rowOff>22860</xdr:rowOff>
    </xdr:from>
    <xdr:to>
      <xdr:col>6</xdr:col>
      <xdr:colOff>381000</xdr:colOff>
      <xdr:row>60</xdr:row>
      <xdr:rowOff>38100</xdr:rowOff>
    </xdr:to>
    <xdr:graphicFrame macro="">
      <xdr:nvGraphicFramePr>
        <xdr:cNvPr id="7" name="Chart 6">
          <a:extLst>
            <a:ext uri="{FF2B5EF4-FFF2-40B4-BE49-F238E27FC236}">
              <a16:creationId xmlns:a16="http://schemas.microsoft.com/office/drawing/2014/main" id="{E4D5DAAA-EEDD-57CF-DD68-91C4211FB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45</xdr:row>
      <xdr:rowOff>3810</xdr:rowOff>
    </xdr:from>
    <xdr:to>
      <xdr:col>11</xdr:col>
      <xdr:colOff>182880</xdr:colOff>
      <xdr:row>59</xdr:row>
      <xdr:rowOff>160020</xdr:rowOff>
    </xdr:to>
    <xdr:graphicFrame macro="">
      <xdr:nvGraphicFramePr>
        <xdr:cNvPr id="8" name="Chart 7">
          <a:extLst>
            <a:ext uri="{FF2B5EF4-FFF2-40B4-BE49-F238E27FC236}">
              <a16:creationId xmlns:a16="http://schemas.microsoft.com/office/drawing/2014/main" id="{B87295EF-704C-CCE2-E35B-C342B22F5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15240</xdr:colOff>
      <xdr:row>1</xdr:row>
      <xdr:rowOff>30482</xdr:rowOff>
    </xdr:from>
    <xdr:to>
      <xdr:col>0</xdr:col>
      <xdr:colOff>1821180</xdr:colOff>
      <xdr:row>9</xdr:row>
      <xdr:rowOff>1</xdr:rowOff>
    </xdr:to>
    <mc:AlternateContent xmlns:mc="http://schemas.openxmlformats.org/markup-compatibility/2006" xmlns:a14="http://schemas.microsoft.com/office/drawing/2010/main">
      <mc:Choice Requires="a14">
        <xdr:graphicFrame macro="">
          <xdr:nvGraphicFramePr>
            <xdr:cNvPr id="9" name="Rating Category">
              <a:extLst>
                <a:ext uri="{FF2B5EF4-FFF2-40B4-BE49-F238E27FC236}">
                  <a16:creationId xmlns:a16="http://schemas.microsoft.com/office/drawing/2014/main" id="{F85B4BCA-E0EA-3210-C97A-480C160779F4}"/>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5240" y="213362"/>
              <a:ext cx="1805940" cy="1432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1</xdr:row>
      <xdr:rowOff>1</xdr:rowOff>
    </xdr:from>
    <xdr:to>
      <xdr:col>4</xdr:col>
      <xdr:colOff>304800</xdr:colOff>
      <xdr:row>9</xdr:row>
      <xdr:rowOff>1</xdr:rowOff>
    </xdr:to>
    <mc:AlternateContent xmlns:mc="http://schemas.openxmlformats.org/markup-compatibility/2006" xmlns:a14="http://schemas.microsoft.com/office/drawing/2010/main">
      <mc:Choice Requires="a14">
        <xdr:graphicFrame macro="">
          <xdr:nvGraphicFramePr>
            <xdr:cNvPr id="10" name="Discount Category">
              <a:extLst>
                <a:ext uri="{FF2B5EF4-FFF2-40B4-BE49-F238E27FC236}">
                  <a16:creationId xmlns:a16="http://schemas.microsoft.com/office/drawing/2014/main" id="{86CAA7E0-549F-6AE3-E4A8-A2A7D06A1C1A}"/>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3619500" y="182881"/>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2148840</xdr:colOff>
      <xdr:row>0</xdr:row>
      <xdr:rowOff>152401</xdr:rowOff>
    </xdr:from>
    <xdr:to>
      <xdr:col>6</xdr:col>
      <xdr:colOff>632460</xdr:colOff>
      <xdr:row>9</xdr:row>
      <xdr:rowOff>1</xdr:rowOff>
    </xdr:to>
    <mc:AlternateContent xmlns:mc="http://schemas.openxmlformats.org/markup-compatibility/2006" xmlns:a14="http://schemas.microsoft.com/office/drawing/2010/main">
      <mc:Choice Requires="a14">
        <xdr:graphicFrame macro="">
          <xdr:nvGraphicFramePr>
            <xdr:cNvPr id="11" name="Price Category">
              <a:extLst>
                <a:ext uri="{FF2B5EF4-FFF2-40B4-BE49-F238E27FC236}">
                  <a16:creationId xmlns:a16="http://schemas.microsoft.com/office/drawing/2014/main" id="{CD7C7C5C-237F-B01C-0887-54539239154B}"/>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7292340" y="15240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202815</xdr:colOff>
      <xdr:row>0</xdr:row>
      <xdr:rowOff>7620</xdr:rowOff>
    </xdr:from>
    <xdr:to>
      <xdr:col>7</xdr:col>
      <xdr:colOff>396316</xdr:colOff>
      <xdr:row>3</xdr:row>
      <xdr:rowOff>68580</xdr:rowOff>
    </xdr:to>
    <xdr:sp macro="" textlink="">
      <xdr:nvSpPr>
        <xdr:cNvPr id="2" name="Rectangle: Rounded Corners 1">
          <a:extLst>
            <a:ext uri="{FF2B5EF4-FFF2-40B4-BE49-F238E27FC236}">
              <a16:creationId xmlns:a16="http://schemas.microsoft.com/office/drawing/2014/main" id="{4408F84D-F763-67B9-FE95-7B91E0A67998}"/>
            </a:ext>
          </a:extLst>
        </xdr:cNvPr>
        <xdr:cNvSpPr/>
      </xdr:nvSpPr>
      <xdr:spPr>
        <a:xfrm>
          <a:off x="202815" y="7620"/>
          <a:ext cx="9945562" cy="615142"/>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US" sz="1600" b="1" cap="none" spc="0">
              <a:ln w="0"/>
              <a:solidFill>
                <a:schemeClr val="bg1"/>
              </a:solidFill>
              <a:effectLst>
                <a:outerShdw blurRad="38100" dist="19050" dir="2700000" algn="tl" rotWithShape="0">
                  <a:schemeClr val="dk1">
                    <a:alpha val="40000"/>
                  </a:schemeClr>
                </a:outerShdw>
              </a:effectLst>
            </a:rPr>
            <a:t>JUMIA PRODUCT PERFORMANCE DASHBOARD </a:t>
          </a:r>
        </a:p>
        <a:p>
          <a:pPr algn="l"/>
          <a:r>
            <a:rPr lang="en-US" sz="1200">
              <a:solidFill>
                <a:schemeClr val="lt1"/>
              </a:solidFill>
              <a:effectLst/>
              <a:latin typeface="+mn-lt"/>
              <a:ea typeface="+mn-ea"/>
              <a:cs typeface="+mn-cs"/>
            </a:rPr>
            <a:t>Last Refreshed 04/09/2026 					Pricing, Discounts &amp; Customer Engagement Analysis</a:t>
          </a:r>
        </a:p>
        <a:p>
          <a:pPr algn="ctr"/>
          <a:endParaRPr lang="en-US" sz="16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78494</xdr:colOff>
      <xdr:row>3</xdr:row>
      <xdr:rowOff>114454</xdr:rowOff>
    </xdr:from>
    <xdr:to>
      <xdr:col>8</xdr:col>
      <xdr:colOff>32960</xdr:colOff>
      <xdr:row>6</xdr:row>
      <xdr:rowOff>99214</xdr:rowOff>
    </xdr:to>
    <xdr:grpSp>
      <xdr:nvGrpSpPr>
        <xdr:cNvPr id="19" name="Group 18">
          <a:extLst>
            <a:ext uri="{FF2B5EF4-FFF2-40B4-BE49-F238E27FC236}">
              <a16:creationId xmlns:a16="http://schemas.microsoft.com/office/drawing/2014/main" id="{432023D9-B778-0543-7580-E502DED171AC}"/>
            </a:ext>
          </a:extLst>
        </xdr:cNvPr>
        <xdr:cNvGrpSpPr/>
      </xdr:nvGrpSpPr>
      <xdr:grpSpPr>
        <a:xfrm>
          <a:off x="78494" y="691727"/>
          <a:ext cx="10114466" cy="562032"/>
          <a:chOff x="78494" y="668636"/>
          <a:chExt cx="10314587" cy="538942"/>
        </a:xfrm>
      </xdr:grpSpPr>
      <xdr:sp macro="" textlink="Analysis!B9">
        <xdr:nvSpPr>
          <xdr:cNvPr id="3" name="Rectangle: Rounded Corners 2">
            <a:extLst>
              <a:ext uri="{FF2B5EF4-FFF2-40B4-BE49-F238E27FC236}">
                <a16:creationId xmlns:a16="http://schemas.microsoft.com/office/drawing/2014/main" id="{3754412E-20E6-8B88-2A49-BFD0A0772423}"/>
              </a:ext>
            </a:extLst>
          </xdr:cNvPr>
          <xdr:cNvSpPr/>
        </xdr:nvSpPr>
        <xdr:spPr>
          <a:xfrm>
            <a:off x="78494" y="668636"/>
            <a:ext cx="1791872" cy="538942"/>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i="0" u="none" strike="noStrike">
                <a:solidFill>
                  <a:schemeClr val="bg1"/>
                </a:solidFill>
                <a:effectLst/>
                <a:latin typeface="Aptos Narrow"/>
                <a:ea typeface="+mn-ea"/>
                <a:cs typeface="+mn-cs"/>
              </a:rPr>
              <a:t>TOTAL</a:t>
            </a:r>
            <a:r>
              <a:rPr lang="en-US" sz="1200" b="1" i="0" u="none" strike="noStrike" baseline="0">
                <a:solidFill>
                  <a:schemeClr val="bg1"/>
                </a:solidFill>
                <a:effectLst/>
                <a:latin typeface="Aptos Narrow"/>
                <a:ea typeface="+mn-ea"/>
                <a:cs typeface="+mn-cs"/>
              </a:rPr>
              <a:t> PRODUCTS</a:t>
            </a:r>
            <a:endParaRPr lang="en-US" sz="1200" b="1" i="0" u="none" strike="noStrike">
              <a:solidFill>
                <a:schemeClr val="bg1"/>
              </a:solidFill>
              <a:effectLst/>
              <a:latin typeface="Aptos Narrow"/>
              <a:ea typeface="+mn-ea"/>
              <a:cs typeface="+mn-cs"/>
            </a:endParaRPr>
          </a:p>
          <a:p>
            <a:pPr algn="ctr"/>
            <a:fld id="{4B896164-3800-42F2-958E-42BFDE36D426}" type="TxLink">
              <a:rPr lang="en-US" sz="1200" b="1" i="0" u="none" strike="noStrike">
                <a:solidFill>
                  <a:schemeClr val="bg1"/>
                </a:solidFill>
                <a:effectLst/>
                <a:latin typeface="Aptos Narrow"/>
                <a:ea typeface="+mn-ea"/>
                <a:cs typeface="+mn-cs"/>
              </a:rPr>
              <a:pPr algn="ctr"/>
              <a:t>112</a:t>
            </a:fld>
            <a:endParaRPr lang="en-US" sz="1200" b="1">
              <a:solidFill>
                <a:schemeClr val="bg1"/>
              </a:solidFill>
            </a:endParaRPr>
          </a:p>
        </xdr:txBody>
      </xdr:sp>
      <xdr:sp macro="" textlink="Analysis!B10">
        <xdr:nvSpPr>
          <xdr:cNvPr id="8" name="Rectangle: Rounded Corners 7">
            <a:extLst>
              <a:ext uri="{FF2B5EF4-FFF2-40B4-BE49-F238E27FC236}">
                <a16:creationId xmlns:a16="http://schemas.microsoft.com/office/drawing/2014/main" id="{70BA3291-88F6-463A-87B2-58207183909E}"/>
              </a:ext>
            </a:extLst>
          </xdr:cNvPr>
          <xdr:cNvSpPr/>
        </xdr:nvSpPr>
        <xdr:spPr>
          <a:xfrm>
            <a:off x="2209173" y="668636"/>
            <a:ext cx="1791872" cy="538942"/>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b="1" i="0">
                <a:solidFill>
                  <a:schemeClr val="lt1"/>
                </a:solidFill>
                <a:effectLst/>
                <a:latin typeface="+mn-lt"/>
                <a:ea typeface="+mn-ea"/>
                <a:cs typeface="+mn-cs"/>
              </a:rPr>
              <a:t>AVERAGE CURRENT PRICE</a:t>
            </a:r>
            <a:endParaRPr lang="en-US" sz="1100" b="1" i="0" u="none" strike="noStrike">
              <a:solidFill>
                <a:schemeClr val="bg1"/>
              </a:solidFill>
              <a:effectLst/>
              <a:latin typeface="Aptos Narrow"/>
              <a:ea typeface="+mn-ea"/>
              <a:cs typeface="+mn-cs"/>
            </a:endParaRPr>
          </a:p>
          <a:p>
            <a:pPr algn="ctr"/>
            <a:fld id="{9DF89343-4F6A-4750-A9DA-1FF299F5CB77}" type="TxLink">
              <a:rPr lang="en-US" sz="1100" b="1" i="0" u="none" strike="noStrike">
                <a:solidFill>
                  <a:schemeClr val="bg1"/>
                </a:solidFill>
                <a:effectLst/>
                <a:latin typeface="Aptos Narrow"/>
                <a:ea typeface="+mn-ea"/>
                <a:cs typeface="+mn-cs"/>
              </a:rPr>
              <a:pPr algn="ctr"/>
              <a:t>Ksh 1,186.89</a:t>
            </a:fld>
            <a:endParaRPr lang="en-US" sz="1200" b="1">
              <a:solidFill>
                <a:schemeClr val="bg1"/>
              </a:solidFill>
            </a:endParaRPr>
          </a:p>
        </xdr:txBody>
      </xdr:sp>
      <xdr:sp macro="" textlink="Analysis!B12">
        <xdr:nvSpPr>
          <xdr:cNvPr id="9" name="Rectangle: Rounded Corners 8">
            <a:extLst>
              <a:ext uri="{FF2B5EF4-FFF2-40B4-BE49-F238E27FC236}">
                <a16:creationId xmlns:a16="http://schemas.microsoft.com/office/drawing/2014/main" id="{CE479A7B-34A4-452B-9CD7-D582800CD1BB}"/>
              </a:ext>
            </a:extLst>
          </xdr:cNvPr>
          <xdr:cNvSpPr/>
        </xdr:nvSpPr>
        <xdr:spPr>
          <a:xfrm>
            <a:off x="4339852" y="668636"/>
            <a:ext cx="1791872" cy="538942"/>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100" b="1" i="0" u="none" strike="noStrike">
                <a:solidFill>
                  <a:schemeClr val="bg1"/>
                </a:solidFill>
                <a:effectLst/>
                <a:latin typeface="Aptos Narrow"/>
                <a:ea typeface="+mn-ea"/>
                <a:cs typeface="+mn-cs"/>
              </a:rPr>
              <a:t>AVERAGE DISCOUNT</a:t>
            </a:r>
          </a:p>
          <a:p>
            <a:pPr algn="ctr"/>
            <a:fld id="{E9E24A25-C6F9-4D05-87E8-06B03C7C04DA}" type="TxLink">
              <a:rPr lang="en-US" sz="1100" b="1" i="0" u="none" strike="noStrike">
                <a:solidFill>
                  <a:schemeClr val="bg1"/>
                </a:solidFill>
                <a:effectLst/>
                <a:latin typeface="Aptos Narrow"/>
                <a:ea typeface="+mn-ea"/>
                <a:cs typeface="+mn-cs"/>
              </a:rPr>
              <a:pPr algn="ctr"/>
              <a:t>37%</a:t>
            </a:fld>
            <a:endParaRPr lang="en-US" sz="1200" b="1">
              <a:solidFill>
                <a:schemeClr val="bg1"/>
              </a:solidFill>
            </a:endParaRPr>
          </a:p>
        </xdr:txBody>
      </xdr:sp>
      <xdr:sp macro="" textlink="Analysis!B13">
        <xdr:nvSpPr>
          <xdr:cNvPr id="10" name="Rectangle: Rounded Corners 9">
            <a:extLst>
              <a:ext uri="{FF2B5EF4-FFF2-40B4-BE49-F238E27FC236}">
                <a16:creationId xmlns:a16="http://schemas.microsoft.com/office/drawing/2014/main" id="{C447E1DD-B559-4A5D-9404-E98CCAA9AF4B}"/>
              </a:ext>
            </a:extLst>
          </xdr:cNvPr>
          <xdr:cNvSpPr/>
        </xdr:nvSpPr>
        <xdr:spPr>
          <a:xfrm>
            <a:off x="6470531" y="668636"/>
            <a:ext cx="1791872" cy="538942"/>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100" b="1" i="0" u="none" strike="noStrike">
                <a:solidFill>
                  <a:schemeClr val="bg1"/>
                </a:solidFill>
                <a:effectLst/>
                <a:latin typeface="Aptos Narrow"/>
                <a:ea typeface="+mn-ea"/>
                <a:cs typeface="+mn-cs"/>
              </a:rPr>
              <a:t>AVERAGE RATING</a:t>
            </a:r>
          </a:p>
          <a:p>
            <a:pPr algn="ctr"/>
            <a:fld id="{6DB6697C-1501-4D93-B3BE-47BCD8F86970}" type="TxLink">
              <a:rPr lang="en-US" sz="1100" b="1" i="0" u="none" strike="noStrike">
                <a:solidFill>
                  <a:schemeClr val="bg1"/>
                </a:solidFill>
                <a:effectLst/>
                <a:latin typeface="Aptos Narrow"/>
                <a:ea typeface="+mn-ea"/>
                <a:cs typeface="+mn-cs"/>
              </a:rPr>
              <a:pPr algn="ctr"/>
              <a:t>3.9</a:t>
            </a:fld>
            <a:endParaRPr lang="en-US" sz="1200" b="1">
              <a:solidFill>
                <a:schemeClr val="bg1"/>
              </a:solidFill>
            </a:endParaRPr>
          </a:p>
        </xdr:txBody>
      </xdr:sp>
      <xdr:sp macro="" textlink="Analysis!B14">
        <xdr:nvSpPr>
          <xdr:cNvPr id="11" name="Rectangle: Rounded Corners 10">
            <a:extLst>
              <a:ext uri="{FF2B5EF4-FFF2-40B4-BE49-F238E27FC236}">
                <a16:creationId xmlns:a16="http://schemas.microsoft.com/office/drawing/2014/main" id="{B949853B-3B06-4E92-A5E2-A4910E647A85}"/>
              </a:ext>
            </a:extLst>
          </xdr:cNvPr>
          <xdr:cNvSpPr/>
        </xdr:nvSpPr>
        <xdr:spPr>
          <a:xfrm>
            <a:off x="8601209" y="668636"/>
            <a:ext cx="1791872" cy="538942"/>
          </a:xfrm>
          <a:prstGeom prst="round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100" b="1" i="0" u="none" strike="noStrike">
                <a:solidFill>
                  <a:schemeClr val="bg1"/>
                </a:solidFill>
                <a:effectLst/>
                <a:latin typeface="Aptos Narrow"/>
                <a:ea typeface="+mn-ea"/>
                <a:cs typeface="+mn-cs"/>
              </a:rPr>
              <a:t>TOTAL REVIEWS</a:t>
            </a:r>
          </a:p>
          <a:p>
            <a:pPr algn="ctr"/>
            <a:fld id="{0483C765-37A1-44AF-86A2-D730483C89E9}" type="TxLink">
              <a:rPr lang="en-US" sz="1100" b="1" i="0" u="none" strike="noStrike">
                <a:solidFill>
                  <a:schemeClr val="bg1"/>
                </a:solidFill>
                <a:effectLst/>
                <a:latin typeface="Aptos Narrow"/>
                <a:ea typeface="+mn-ea"/>
                <a:cs typeface="+mn-cs"/>
              </a:rPr>
              <a:pPr algn="ctr"/>
              <a:t>723</a:t>
            </a:fld>
            <a:endParaRPr lang="en-US" sz="1200" b="1">
              <a:solidFill>
                <a:schemeClr val="bg1"/>
              </a:solidFill>
            </a:endParaRPr>
          </a:p>
        </xdr:txBody>
      </xdr:sp>
    </xdr:grpSp>
    <xdr:clientData/>
  </xdr:twoCellAnchor>
  <xdr:twoCellAnchor>
    <xdr:from>
      <xdr:col>0</xdr:col>
      <xdr:colOff>0</xdr:colOff>
      <xdr:row>20</xdr:row>
      <xdr:rowOff>53878</xdr:rowOff>
    </xdr:from>
    <xdr:to>
      <xdr:col>2</xdr:col>
      <xdr:colOff>541020</xdr:colOff>
      <xdr:row>32</xdr:row>
      <xdr:rowOff>92363</xdr:rowOff>
    </xdr:to>
    <xdr:graphicFrame macro="">
      <xdr:nvGraphicFramePr>
        <xdr:cNvPr id="14" name="Chart 13">
          <a:extLst>
            <a:ext uri="{FF2B5EF4-FFF2-40B4-BE49-F238E27FC236}">
              <a16:creationId xmlns:a16="http://schemas.microsoft.com/office/drawing/2014/main" id="{12813709-244B-4895-915E-C7B2D7D78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577273</xdr:colOff>
      <xdr:row>20</xdr:row>
      <xdr:rowOff>69273</xdr:rowOff>
    </xdr:from>
    <xdr:to>
      <xdr:col>5</xdr:col>
      <xdr:colOff>555952</xdr:colOff>
      <xdr:row>32</xdr:row>
      <xdr:rowOff>100060</xdr:rowOff>
    </xdr:to>
    <xdr:graphicFrame macro="">
      <xdr:nvGraphicFramePr>
        <xdr:cNvPr id="17" name="Chart 16">
          <a:extLst>
            <a:ext uri="{FF2B5EF4-FFF2-40B4-BE49-F238E27FC236}">
              <a16:creationId xmlns:a16="http://schemas.microsoft.com/office/drawing/2014/main" id="{C3CBC3A5-977C-478C-918D-21E5D1E9F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600363</xdr:colOff>
      <xdr:row>20</xdr:row>
      <xdr:rowOff>69273</xdr:rowOff>
    </xdr:from>
    <xdr:to>
      <xdr:col>8</xdr:col>
      <xdr:colOff>571423</xdr:colOff>
      <xdr:row>32</xdr:row>
      <xdr:rowOff>100060</xdr:rowOff>
    </xdr:to>
    <xdr:graphicFrame macro="">
      <xdr:nvGraphicFramePr>
        <xdr:cNvPr id="18" name="Chart 17">
          <a:extLst>
            <a:ext uri="{FF2B5EF4-FFF2-40B4-BE49-F238E27FC236}">
              <a16:creationId xmlns:a16="http://schemas.microsoft.com/office/drawing/2014/main" id="{3C65FD8B-B98D-4277-A263-AC5192FC4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115455</xdr:colOff>
      <xdr:row>3</xdr:row>
      <xdr:rowOff>107757</xdr:rowOff>
    </xdr:from>
    <xdr:to>
      <xdr:col>11</xdr:col>
      <xdr:colOff>97213</xdr:colOff>
      <xdr:row>11</xdr:row>
      <xdr:rowOff>47104</xdr:rowOff>
    </xdr:to>
    <mc:AlternateContent xmlns:mc="http://schemas.openxmlformats.org/markup-compatibility/2006" xmlns:a14="http://schemas.microsoft.com/office/drawing/2010/main">
      <mc:Choice Requires="a14">
        <xdr:graphicFrame macro="">
          <xdr:nvGraphicFramePr>
            <xdr:cNvPr id="20" name="Rating Category 1">
              <a:extLst>
                <a:ext uri="{FF2B5EF4-FFF2-40B4-BE49-F238E27FC236}">
                  <a16:creationId xmlns:a16="http://schemas.microsoft.com/office/drawing/2014/main" id="{74F226F7-79A5-464B-B692-7F3CDB57E983}"/>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0475576" y="661939"/>
              <a:ext cx="1805940" cy="1432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177030</xdr:colOff>
      <xdr:row>3</xdr:row>
      <xdr:rowOff>100060</xdr:rowOff>
    </xdr:from>
    <xdr:to>
      <xdr:col>14</xdr:col>
      <xdr:colOff>181648</xdr:colOff>
      <xdr:row>11</xdr:row>
      <xdr:rowOff>69888</xdr:rowOff>
    </xdr:to>
    <mc:AlternateContent xmlns:mc="http://schemas.openxmlformats.org/markup-compatibility/2006" xmlns:a14="http://schemas.microsoft.com/office/drawing/2010/main">
      <mc:Choice Requires="a14">
        <xdr:graphicFrame macro="">
          <xdr:nvGraphicFramePr>
            <xdr:cNvPr id="21" name="Discount Category 1">
              <a:extLst>
                <a:ext uri="{FF2B5EF4-FFF2-40B4-BE49-F238E27FC236}">
                  <a16:creationId xmlns:a16="http://schemas.microsoft.com/office/drawing/2014/main" id="{5E265E7C-887A-40DD-BB33-4879C2C1C288}"/>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2361333" y="654242"/>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123152</xdr:colOff>
      <xdr:row>11</xdr:row>
      <xdr:rowOff>177030</xdr:rowOff>
    </xdr:from>
    <xdr:to>
      <xdr:col>11</xdr:col>
      <xdr:colOff>127770</xdr:colOff>
      <xdr:row>20</xdr:row>
      <xdr:rowOff>8005</xdr:rowOff>
    </xdr:to>
    <mc:AlternateContent xmlns:mc="http://schemas.openxmlformats.org/markup-compatibility/2006" xmlns:a14="http://schemas.microsoft.com/office/drawing/2010/main">
      <mc:Choice Requires="a14">
        <xdr:graphicFrame macro="">
          <xdr:nvGraphicFramePr>
            <xdr:cNvPr id="22" name="Price Category 1">
              <a:extLst>
                <a:ext uri="{FF2B5EF4-FFF2-40B4-BE49-F238E27FC236}">
                  <a16:creationId xmlns:a16="http://schemas.microsoft.com/office/drawing/2014/main" id="{86297D39-9A63-4D13-BAE9-FB9A5CFA61CD}"/>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10483273" y="2224424"/>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34</xdr:row>
      <xdr:rowOff>15393</xdr:rowOff>
    </xdr:from>
    <xdr:to>
      <xdr:col>2</xdr:col>
      <xdr:colOff>423333</xdr:colOff>
      <xdr:row>46</xdr:row>
      <xdr:rowOff>15393</xdr:rowOff>
    </xdr:to>
    <xdr:graphicFrame macro="">
      <xdr:nvGraphicFramePr>
        <xdr:cNvPr id="23" name="Chart 22">
          <a:extLst>
            <a:ext uri="{FF2B5EF4-FFF2-40B4-BE49-F238E27FC236}">
              <a16:creationId xmlns:a16="http://schemas.microsoft.com/office/drawing/2014/main" id="{53F41CBF-8BA8-4B46-8784-6F48ECF2C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34</xdr:row>
      <xdr:rowOff>0</xdr:rowOff>
    </xdr:from>
    <xdr:to>
      <xdr:col>6</xdr:col>
      <xdr:colOff>611140</xdr:colOff>
      <xdr:row>46</xdr:row>
      <xdr:rowOff>145473</xdr:rowOff>
    </xdr:to>
    <xdr:graphicFrame macro="">
      <xdr:nvGraphicFramePr>
        <xdr:cNvPr id="24" name="Chart 23">
          <a:extLst>
            <a:ext uri="{FF2B5EF4-FFF2-40B4-BE49-F238E27FC236}">
              <a16:creationId xmlns:a16="http://schemas.microsoft.com/office/drawing/2014/main" id="{8D9203ED-B14A-4EBE-B657-834DD601C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754303</xdr:colOff>
      <xdr:row>34</xdr:row>
      <xdr:rowOff>15393</xdr:rowOff>
    </xdr:from>
    <xdr:to>
      <xdr:col>14</xdr:col>
      <xdr:colOff>138545</xdr:colOff>
      <xdr:row>47</xdr:row>
      <xdr:rowOff>146241</xdr:rowOff>
    </xdr:to>
    <xdr:sp macro="" textlink="">
      <xdr:nvSpPr>
        <xdr:cNvPr id="25" name="Rectangle: Rounded Corners 24">
          <a:extLst>
            <a:ext uri="{FF2B5EF4-FFF2-40B4-BE49-F238E27FC236}">
              <a16:creationId xmlns:a16="http://schemas.microsoft.com/office/drawing/2014/main" id="{C261C333-E23C-1295-2F83-FADB356FD1C2}"/>
            </a:ext>
          </a:extLst>
        </xdr:cNvPr>
        <xdr:cNvSpPr/>
      </xdr:nvSpPr>
      <xdr:spPr>
        <a:xfrm>
          <a:off x="8066424" y="6311514"/>
          <a:ext cx="6080606" cy="2532303"/>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US" sz="1100"/>
            <a:t>INSIGHTS;</a:t>
          </a:r>
        </a:p>
        <a:p>
          <a:pPr algn="l"/>
          <a:r>
            <a:rPr lang="en-US" sz="1100"/>
            <a:t>1. The extremely low R² value suggests that discount has little linear association with customer engagement.- Sellers should not rely on deeper discounts to drive reviews. The relationship may be masked by unmeasured factors like timing or category.</a:t>
          </a:r>
        </a:p>
        <a:p>
          <a:pPr algn="l"/>
          <a:r>
            <a:rPr lang="en-US" sz="1100"/>
            <a:t>2. There is a negligible positive relationship between rating and number of reviews. Engagement likely depends more on listing age or category demand than on rating. Sample size and outliers (one product with ~70 reviews) may be skewing this.</a:t>
          </a:r>
        </a:p>
        <a:p>
          <a:pPr algn="l"/>
          <a:r>
            <a:rPr lang="en-US" sz="1100"/>
            <a:t>3.There is a negligible positive relationship between current price and rating. Sellers should not use price as a proxy for rating in strategy decisions. Correlation is too weak to act on alone.</a:t>
          </a:r>
        </a:p>
        <a:p>
          <a:pPr algn="l"/>
          <a:r>
            <a:rPr lang="en-US" sz="1100"/>
            <a:t>RECOMMENDATIONS</a:t>
          </a:r>
        </a:p>
        <a:p>
          <a:pPr algn="l"/>
          <a:r>
            <a:rPr lang="en-US" sz="1100"/>
            <a:t>1. Sellers should not rely on higher discounts and </a:t>
          </a:r>
          <a:r>
            <a:rPr lang="en-US" sz="1100" baseline="0">
              <a:solidFill>
                <a:schemeClr val="lt1"/>
              </a:solidFill>
              <a:effectLst/>
              <a:latin typeface="+mn-lt"/>
              <a:ea typeface="+mn-ea"/>
              <a:cs typeface="+mn-cs"/>
            </a:rPr>
            <a:t>high ratings alone </a:t>
          </a:r>
          <a:r>
            <a:rPr lang="en-US" sz="1100"/>
            <a:t>to drive engagement and</a:t>
          </a:r>
          <a:r>
            <a:rPr lang="en-US" sz="1100" baseline="0"/>
            <a:t> to boost visibility, but should investigate what actually drives reviews and engagement, and implement.</a:t>
          </a:r>
        </a:p>
        <a:p>
          <a:pPr algn="l"/>
          <a:endParaRPr lang="en-US" sz="1100" baseline="0"/>
        </a:p>
        <a:p>
          <a:pPr algn="l"/>
          <a:endParaRPr lang="en-US" sz="1100" baseline="0"/>
        </a:p>
        <a:p>
          <a:pPr algn="l"/>
          <a:endParaRPr lang="en-US" sz="1100" baseline="0"/>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dy Anyango Ochieng" refreshedDate="46268.633146527776" createdVersion="8" refreshedVersion="8" minRefreshableVersion="3" recordCount="112" xr:uid="{FD32C41F-8372-4EFA-8261-38E3C64FE8B2}">
  <cacheSource type="worksheet">
    <worksheetSource name="Cleaned_Data"/>
  </cacheSource>
  <cacheFields count="21">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0">
      <sharedItems containsString="0" containsBlank="1" containsNumber="1" containsInteger="1" minValue="1" maxValue="69"/>
    </cacheField>
    <cacheField name="Rating" numFmtId="0">
      <sharedItems containsString="0" containsBlank="1" containsNumber="1" minValue="2" maxValue="5"/>
    </cacheField>
    <cacheField name="Discount Amount" numFmtId="0">
      <sharedItems containsSemiMixedTypes="0" containsString="0" containsNumber="1" containsInteger="1" minValue="24" maxValue="2585"/>
    </cacheField>
    <cacheField name="Rating Category" numFmtId="0">
      <sharedItems count="4">
        <s v="Average"/>
        <s v="Excellent"/>
        <s v="Missing"/>
        <s v="Poor"/>
      </sharedItems>
    </cacheField>
    <cacheField name="Discount Category" numFmtId="0">
      <sharedItems count="3">
        <s v="Medium Discount"/>
        <s v="High Discount"/>
        <s v="Low Discount"/>
      </sharedItems>
    </cacheField>
    <cacheField name="Price Category" numFmtId="0">
      <sharedItems count="3">
        <s v="Medium Price"/>
        <s v="High Price"/>
        <s v="Low Price"/>
      </sharedItems>
    </cacheField>
    <cacheField name="Engagement" numFmtId="0">
      <sharedItems count="3">
        <s v="Weak Engagement"/>
        <s v="Strong Engagement"/>
        <s v="Missing"/>
      </sharedItems>
    </cacheField>
    <cacheField name="High discount + low rating" numFmtId="0">
      <sharedItems/>
    </cacheField>
    <cacheField name="High discount + low engagement" numFmtId="0">
      <sharedItems count="3">
        <s v="OK"/>
        <s v="Flag"/>
        <s v="Missing"/>
      </sharedItems>
    </cacheField>
    <cacheField name="Many reviews + average rating" numFmtId="0">
      <sharedItems/>
    </cacheField>
    <cacheField name="Strong engagement + excellent rating" numFmtId="0">
      <sharedItems/>
    </cacheField>
    <cacheField name="Rating Status" numFmtId="0">
      <sharedItems count="2">
        <s v="Has Rating"/>
        <s v="Missing Rating"/>
      </sharedItems>
    </cacheField>
    <cacheField name="Calculated Discount" numFmtId="9">
      <sharedItems containsSemiMixedTypes="0" containsString="0" containsNumber="1" minValue="1.2638230647709321E-2" maxValue="0.64014466546112114"/>
    </cacheField>
    <cacheField name="Discount Difference" numFmtId="9">
      <sharedItems/>
    </cacheField>
    <cacheField name="Rating check" numFmtId="0">
      <sharedItems/>
    </cacheField>
    <cacheField name="Discount Check" numFmtId="0">
      <sharedItems/>
    </cacheField>
    <cacheField name="Price check" numFmtId="0">
      <sharedItems/>
    </cacheField>
  </cacheFields>
  <extLst>
    <ext xmlns:x14="http://schemas.microsoft.com/office/spreadsheetml/2009/9/main" uri="{725AE2AE-9491-48be-B2B4-4EB974FC3084}">
      <x14:pivotCacheDefinition pivotCacheId="1238121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0.38"/>
    <n v="2"/>
    <n v="4.5"/>
    <n v="575"/>
    <x v="0"/>
    <x v="0"/>
    <x v="0"/>
    <x v="0"/>
    <s v="OK"/>
    <x v="0"/>
    <s v="OK"/>
    <s v="OK"/>
    <x v="0"/>
    <n v="0.37704918032786883"/>
    <s v="OK"/>
    <s v="OK"/>
    <s v="OK"/>
    <s v="OK"/>
  </r>
  <r>
    <x v="1"/>
    <n v="527"/>
    <n v="999"/>
    <n v="0.47"/>
    <n v="14"/>
    <n v="4.0999999999999996"/>
    <n v="472"/>
    <x v="0"/>
    <x v="1"/>
    <x v="0"/>
    <x v="1"/>
    <s v="OK"/>
    <x v="0"/>
    <s v="Flag"/>
    <s v="OK"/>
    <x v="0"/>
    <n v="0.47247247247247248"/>
    <s v="OK"/>
    <s v="OK"/>
    <s v="OK"/>
    <s v="OK"/>
  </r>
  <r>
    <x v="2"/>
    <n v="2199"/>
    <n v="2923"/>
    <n v="0.25"/>
    <n v="24"/>
    <n v="4.5999999999999996"/>
    <n v="724"/>
    <x v="1"/>
    <x v="0"/>
    <x v="1"/>
    <x v="1"/>
    <s v="OK"/>
    <x v="0"/>
    <s v="OK"/>
    <s v="Flag"/>
    <x v="0"/>
    <n v="0.24769072870338693"/>
    <s v="OK"/>
    <s v="OK"/>
    <s v="OK"/>
    <s v="OK"/>
  </r>
  <r>
    <x v="3"/>
    <n v="1580"/>
    <n v="2499"/>
    <n v="0.37"/>
    <n v="7"/>
    <n v="4.7"/>
    <n v="919"/>
    <x v="1"/>
    <x v="0"/>
    <x v="0"/>
    <x v="0"/>
    <s v="OK"/>
    <x v="0"/>
    <s v="OK"/>
    <s v="OK"/>
    <x v="0"/>
    <n v="0.36774709883953582"/>
    <s v="OK"/>
    <s v="OK"/>
    <s v="OK"/>
    <s v="OK"/>
  </r>
  <r>
    <x v="4"/>
    <n v="1740"/>
    <n v="2356"/>
    <n v="0.26"/>
    <n v="5"/>
    <n v="4.8"/>
    <n v="616"/>
    <x v="1"/>
    <x v="0"/>
    <x v="1"/>
    <x v="0"/>
    <s v="OK"/>
    <x v="0"/>
    <s v="OK"/>
    <s v="OK"/>
    <x v="0"/>
    <n v="0.26146010186757218"/>
    <s v="OK"/>
    <s v="OK"/>
    <s v="OK"/>
    <s v="OK"/>
  </r>
  <r>
    <x v="5"/>
    <n v="2999"/>
    <n v="3290"/>
    <n v="0.09"/>
    <n v="15"/>
    <n v="4"/>
    <n v="291"/>
    <x v="0"/>
    <x v="2"/>
    <x v="1"/>
    <x v="1"/>
    <s v="OK"/>
    <x v="0"/>
    <s v="Flag"/>
    <s v="OK"/>
    <x v="0"/>
    <n v="8.8449848024316116E-2"/>
    <s v="OK"/>
    <s v="OK"/>
    <s v="OK"/>
    <s v="OK"/>
  </r>
  <r>
    <x v="6"/>
    <n v="2319"/>
    <n v="3032"/>
    <n v="0.24"/>
    <n v="55"/>
    <n v="4.5999999999999996"/>
    <n v="713"/>
    <x v="1"/>
    <x v="0"/>
    <x v="1"/>
    <x v="1"/>
    <s v="OK"/>
    <x v="0"/>
    <s v="OK"/>
    <s v="Flag"/>
    <x v="0"/>
    <n v="0.23515831134564644"/>
    <s v="OK"/>
    <s v="OK"/>
    <s v="OK"/>
    <s v="OK"/>
  </r>
  <r>
    <x v="7"/>
    <n v="988"/>
    <n v="1580"/>
    <n v="0.37"/>
    <n v="2"/>
    <n v="4"/>
    <n v="592"/>
    <x v="0"/>
    <x v="0"/>
    <x v="0"/>
    <x v="0"/>
    <s v="OK"/>
    <x v="0"/>
    <s v="OK"/>
    <s v="OK"/>
    <x v="0"/>
    <n v="0.37468354430379747"/>
    <s v="OK"/>
    <s v="OK"/>
    <s v="OK"/>
    <s v="OK"/>
  </r>
  <r>
    <x v="8"/>
    <n v="1274"/>
    <n v="2800"/>
    <n v="0.55000000000000004"/>
    <n v="5"/>
    <n v="4.8"/>
    <n v="1526"/>
    <x v="1"/>
    <x v="1"/>
    <x v="0"/>
    <x v="0"/>
    <s v="OK"/>
    <x v="1"/>
    <s v="OK"/>
    <s v="OK"/>
    <x v="0"/>
    <n v="0.54500000000000004"/>
    <s v="OK"/>
    <s v="OK"/>
    <s v="OK"/>
    <s v="OK"/>
  </r>
  <r>
    <x v="9"/>
    <n v="1600"/>
    <n v="2929"/>
    <n v="0.45"/>
    <n v="5"/>
    <n v="3.8"/>
    <n v="1329"/>
    <x v="0"/>
    <x v="1"/>
    <x v="0"/>
    <x v="0"/>
    <s v="OK"/>
    <x v="1"/>
    <s v="OK"/>
    <s v="OK"/>
    <x v="0"/>
    <n v="0.45373847729600547"/>
    <s v="OK"/>
    <s v="OK"/>
    <s v="OK"/>
    <s v="OK"/>
  </r>
  <r>
    <x v="10"/>
    <n v="799"/>
    <n v="999"/>
    <n v="0.2"/>
    <n v="12"/>
    <n v="4.0999999999999996"/>
    <n v="200"/>
    <x v="0"/>
    <x v="0"/>
    <x v="0"/>
    <x v="0"/>
    <s v="OK"/>
    <x v="0"/>
    <s v="OK"/>
    <s v="OK"/>
    <x v="0"/>
    <n v="0.20020020020020021"/>
    <s v="OK"/>
    <s v="OK"/>
    <s v="OK"/>
    <s v="OK"/>
  </r>
  <r>
    <x v="11"/>
    <n v="990"/>
    <n v="1500"/>
    <n v="0.34"/>
    <n v="39"/>
    <n v="4.7"/>
    <n v="510"/>
    <x v="1"/>
    <x v="0"/>
    <x v="0"/>
    <x v="1"/>
    <s v="OK"/>
    <x v="0"/>
    <s v="OK"/>
    <s v="Flag"/>
    <x v="0"/>
    <n v="0.34"/>
    <s v="OK"/>
    <s v="OK"/>
    <s v="OK"/>
    <s v="OK"/>
  </r>
  <r>
    <x v="12"/>
    <n v="552"/>
    <n v="1035"/>
    <n v="0.47"/>
    <n v="12"/>
    <n v="4.8"/>
    <n v="483"/>
    <x v="1"/>
    <x v="1"/>
    <x v="0"/>
    <x v="0"/>
    <s v="OK"/>
    <x v="1"/>
    <s v="OK"/>
    <s v="OK"/>
    <x v="0"/>
    <n v="0.46666666666666667"/>
    <s v="OK"/>
    <s v="OK"/>
    <s v="OK"/>
    <s v="OK"/>
  </r>
  <r>
    <x v="13"/>
    <n v="501"/>
    <n v="860"/>
    <n v="0.42"/>
    <n v="6"/>
    <n v="4.5"/>
    <n v="359"/>
    <x v="0"/>
    <x v="1"/>
    <x v="0"/>
    <x v="0"/>
    <s v="OK"/>
    <x v="1"/>
    <s v="OK"/>
    <s v="OK"/>
    <x v="0"/>
    <n v="0.41744186046511628"/>
    <s v="OK"/>
    <s v="OK"/>
    <s v="OK"/>
    <s v="OK"/>
  </r>
  <r>
    <x v="14"/>
    <n v="1680"/>
    <n v="2499"/>
    <n v="0.33"/>
    <n v="9"/>
    <n v="4.2"/>
    <n v="819"/>
    <x v="0"/>
    <x v="0"/>
    <x v="1"/>
    <x v="0"/>
    <s v="OK"/>
    <x v="0"/>
    <s v="OK"/>
    <s v="OK"/>
    <x v="0"/>
    <n v="0.32773109243697479"/>
    <s v="OK"/>
    <s v="OK"/>
    <s v="OK"/>
    <s v="OK"/>
  </r>
  <r>
    <x v="15"/>
    <n v="332"/>
    <n v="684"/>
    <n v="0.51"/>
    <n v="2"/>
    <n v="5"/>
    <n v="352"/>
    <x v="1"/>
    <x v="1"/>
    <x v="2"/>
    <x v="0"/>
    <s v="OK"/>
    <x v="1"/>
    <s v="OK"/>
    <s v="OK"/>
    <x v="0"/>
    <n v="0.51461988304093564"/>
    <s v="OK"/>
    <s v="OK"/>
    <s v="OK"/>
    <s v="OK"/>
  </r>
  <r>
    <x v="16"/>
    <n v="195"/>
    <n v="360"/>
    <n v="0.46"/>
    <n v="2"/>
    <n v="5"/>
    <n v="165"/>
    <x v="1"/>
    <x v="1"/>
    <x v="2"/>
    <x v="0"/>
    <s v="OK"/>
    <x v="1"/>
    <s v="OK"/>
    <s v="OK"/>
    <x v="0"/>
    <n v="0.45833333333333331"/>
    <s v="OK"/>
    <s v="OK"/>
    <s v="OK"/>
    <s v="OK"/>
  </r>
  <r>
    <x v="17"/>
    <n v="2025"/>
    <n v="3971"/>
    <n v="0.49"/>
    <n v="3"/>
    <n v="5"/>
    <n v="1946"/>
    <x v="1"/>
    <x v="1"/>
    <x v="1"/>
    <x v="0"/>
    <s v="OK"/>
    <x v="1"/>
    <s v="OK"/>
    <s v="OK"/>
    <x v="0"/>
    <n v="0.49005288340468395"/>
    <s v="OK"/>
    <s v="OK"/>
    <s v="OK"/>
    <s v="OK"/>
  </r>
  <r>
    <x v="18"/>
    <n v="2999"/>
    <n v="3699"/>
    <n v="0.19"/>
    <n v="5"/>
    <n v="4.5999999999999996"/>
    <n v="700"/>
    <x v="1"/>
    <x v="2"/>
    <x v="1"/>
    <x v="0"/>
    <s v="OK"/>
    <x v="0"/>
    <s v="OK"/>
    <s v="OK"/>
    <x v="0"/>
    <n v="0.18924033522573669"/>
    <s v="OK"/>
    <s v="OK"/>
    <s v="OK"/>
    <s v="OK"/>
  </r>
  <r>
    <x v="19"/>
    <n v="998"/>
    <n v="1966"/>
    <n v="0.49"/>
    <n v="44"/>
    <n v="4.5999999999999996"/>
    <n v="968"/>
    <x v="1"/>
    <x v="1"/>
    <x v="0"/>
    <x v="1"/>
    <s v="OK"/>
    <x v="0"/>
    <s v="OK"/>
    <s v="Flag"/>
    <x v="0"/>
    <n v="0.49237029501525942"/>
    <s v="OK"/>
    <s v="OK"/>
    <s v="OK"/>
    <s v="OK"/>
  </r>
  <r>
    <x v="20"/>
    <n v="38"/>
    <n v="80"/>
    <n v="0.53"/>
    <n v="13"/>
    <n v="3.3"/>
    <n v="42"/>
    <x v="0"/>
    <x v="1"/>
    <x v="2"/>
    <x v="0"/>
    <s v="OK"/>
    <x v="1"/>
    <s v="OK"/>
    <s v="OK"/>
    <x v="0"/>
    <n v="0.52500000000000002"/>
    <s v="OK"/>
    <s v="OK"/>
    <s v="OK"/>
    <s v="OK"/>
  </r>
  <r>
    <x v="21"/>
    <n v="1860"/>
    <n v="3220"/>
    <n v="0.42"/>
    <m/>
    <m/>
    <n v="1360"/>
    <x v="2"/>
    <x v="1"/>
    <x v="1"/>
    <x v="2"/>
    <s v="Missing"/>
    <x v="2"/>
    <s v="Missing"/>
    <s v="Missing"/>
    <x v="1"/>
    <n v="0.42236024844720499"/>
    <s v="OK"/>
    <s v="OK"/>
    <s v="OK"/>
    <s v="OK"/>
  </r>
  <r>
    <x v="22"/>
    <n v="880"/>
    <n v="1350"/>
    <n v="0.35"/>
    <n v="6"/>
    <n v="4"/>
    <n v="470"/>
    <x v="0"/>
    <x v="0"/>
    <x v="0"/>
    <x v="0"/>
    <s v="OK"/>
    <x v="0"/>
    <s v="OK"/>
    <s v="OK"/>
    <x v="0"/>
    <n v="0.34814814814814815"/>
    <s v="OK"/>
    <s v="OK"/>
    <s v="OK"/>
    <s v="OK"/>
  </r>
  <r>
    <x v="23"/>
    <n v="1650"/>
    <n v="2150"/>
    <n v="0.23"/>
    <n v="14"/>
    <n v="4.4000000000000004"/>
    <n v="500"/>
    <x v="0"/>
    <x v="0"/>
    <x v="0"/>
    <x v="1"/>
    <s v="OK"/>
    <x v="0"/>
    <s v="Flag"/>
    <s v="OK"/>
    <x v="0"/>
    <n v="0.23255813953488372"/>
    <s v="OK"/>
    <s v="OK"/>
    <s v="OK"/>
    <s v="OK"/>
  </r>
  <r>
    <x v="24"/>
    <n v="2048"/>
    <n v="4500"/>
    <n v="0.54"/>
    <n v="7"/>
    <n v="4.3"/>
    <n v="2452"/>
    <x v="0"/>
    <x v="1"/>
    <x v="1"/>
    <x v="0"/>
    <s v="OK"/>
    <x v="1"/>
    <s v="OK"/>
    <s v="OK"/>
    <x v="0"/>
    <n v="0.54488888888888887"/>
    <s v="OK"/>
    <s v="OK"/>
    <s v="OK"/>
    <s v="OK"/>
  </r>
  <r>
    <x v="25"/>
    <n v="420"/>
    <n v="647"/>
    <n v="0.35"/>
    <n v="49"/>
    <n v="4.5999999999999996"/>
    <n v="227"/>
    <x v="1"/>
    <x v="0"/>
    <x v="2"/>
    <x v="1"/>
    <s v="OK"/>
    <x v="0"/>
    <s v="OK"/>
    <s v="Flag"/>
    <x v="0"/>
    <n v="0.3508500772797527"/>
    <s v="OK"/>
    <s v="OK"/>
    <s v="OK"/>
    <s v="OK"/>
  </r>
  <r>
    <x v="26"/>
    <n v="2880"/>
    <n v="3520"/>
    <n v="0.18"/>
    <n v="12"/>
    <n v="3.8"/>
    <n v="640"/>
    <x v="0"/>
    <x v="2"/>
    <x v="1"/>
    <x v="0"/>
    <s v="OK"/>
    <x v="0"/>
    <s v="OK"/>
    <s v="OK"/>
    <x v="0"/>
    <n v="0.18181818181818182"/>
    <s v="OK"/>
    <s v="OK"/>
    <s v="OK"/>
    <s v="OK"/>
  </r>
  <r>
    <x v="27"/>
    <n v="1350"/>
    <n v="1990"/>
    <n v="0.32"/>
    <n v="13"/>
    <n v="3.8"/>
    <n v="640"/>
    <x v="0"/>
    <x v="0"/>
    <x v="0"/>
    <x v="0"/>
    <s v="OK"/>
    <x v="0"/>
    <s v="OK"/>
    <s v="OK"/>
    <x v="0"/>
    <n v="0.32160804020100503"/>
    <s v="OK"/>
    <s v="OK"/>
    <s v="OK"/>
    <s v="OK"/>
  </r>
  <r>
    <x v="28"/>
    <n v="1758"/>
    <n v="2499"/>
    <n v="0.3"/>
    <n v="20"/>
    <n v="4.0999999999999996"/>
    <n v="741"/>
    <x v="0"/>
    <x v="0"/>
    <x v="1"/>
    <x v="1"/>
    <s v="OK"/>
    <x v="0"/>
    <s v="Flag"/>
    <s v="OK"/>
    <x v="0"/>
    <n v="0.2965186074429772"/>
    <s v="OK"/>
    <s v="OK"/>
    <s v="OK"/>
    <s v="OK"/>
  </r>
  <r>
    <x v="29"/>
    <n v="2200"/>
    <n v="4080"/>
    <n v="0.46"/>
    <m/>
    <m/>
    <n v="1880"/>
    <x v="2"/>
    <x v="1"/>
    <x v="1"/>
    <x v="2"/>
    <s v="Missing"/>
    <x v="2"/>
    <s v="Missing"/>
    <s v="Missing"/>
    <x v="1"/>
    <n v="0.46078431372549017"/>
    <s v="OK"/>
    <s v="OK"/>
    <s v="OK"/>
    <s v="OK"/>
  </r>
  <r>
    <x v="30"/>
    <n v="185"/>
    <n v="382"/>
    <n v="0.52"/>
    <n v="9"/>
    <n v="4.3"/>
    <n v="197"/>
    <x v="0"/>
    <x v="1"/>
    <x v="2"/>
    <x v="0"/>
    <s v="OK"/>
    <x v="1"/>
    <s v="OK"/>
    <s v="OK"/>
    <x v="0"/>
    <n v="0.51570680628272247"/>
    <s v="OK"/>
    <s v="OK"/>
    <s v="OK"/>
    <s v="OK"/>
  </r>
  <r>
    <x v="31"/>
    <n v="980"/>
    <n v="1490"/>
    <n v="0.34"/>
    <n v="12"/>
    <n v="4.7"/>
    <n v="510"/>
    <x v="1"/>
    <x v="0"/>
    <x v="0"/>
    <x v="0"/>
    <s v="OK"/>
    <x v="0"/>
    <s v="OK"/>
    <s v="OK"/>
    <x v="0"/>
    <n v="0.34228187919463088"/>
    <s v="OK"/>
    <s v="OK"/>
    <s v="OK"/>
    <s v="OK"/>
  </r>
  <r>
    <x v="32"/>
    <n v="1820"/>
    <n v="3490"/>
    <n v="0.48"/>
    <n v="9"/>
    <n v="4.3"/>
    <n v="1670"/>
    <x v="0"/>
    <x v="1"/>
    <x v="1"/>
    <x v="0"/>
    <s v="OK"/>
    <x v="1"/>
    <s v="OK"/>
    <s v="OK"/>
    <x v="0"/>
    <n v="0.47851002865329512"/>
    <s v="OK"/>
    <s v="OK"/>
    <s v="OK"/>
    <s v="OK"/>
  </r>
  <r>
    <x v="33"/>
    <n v="1940"/>
    <n v="2650"/>
    <n v="0.27"/>
    <n v="20"/>
    <n v="4.7"/>
    <n v="710"/>
    <x v="1"/>
    <x v="0"/>
    <x v="1"/>
    <x v="1"/>
    <s v="OK"/>
    <x v="0"/>
    <s v="OK"/>
    <s v="Flag"/>
    <x v="0"/>
    <n v="0.26792452830188679"/>
    <s v="OK"/>
    <s v="OK"/>
    <s v="OK"/>
    <s v="OK"/>
  </r>
  <r>
    <x v="34"/>
    <n v="1980"/>
    <n v="2699"/>
    <n v="0.27"/>
    <n v="32"/>
    <n v="4.5"/>
    <n v="719"/>
    <x v="0"/>
    <x v="0"/>
    <x v="1"/>
    <x v="1"/>
    <s v="OK"/>
    <x v="0"/>
    <s v="Flag"/>
    <s v="OK"/>
    <x v="0"/>
    <n v="0.26639496109670247"/>
    <s v="OK"/>
    <s v="OK"/>
    <s v="OK"/>
    <s v="OK"/>
  </r>
  <r>
    <x v="35"/>
    <n v="1620"/>
    <n v="2690"/>
    <n v="0.4"/>
    <n v="1"/>
    <n v="5"/>
    <n v="1070"/>
    <x v="1"/>
    <x v="0"/>
    <x v="0"/>
    <x v="0"/>
    <s v="OK"/>
    <x v="0"/>
    <s v="OK"/>
    <s v="OK"/>
    <x v="0"/>
    <n v="0.39776951672862454"/>
    <s v="OK"/>
    <s v="OK"/>
    <s v="OK"/>
    <s v="OK"/>
  </r>
  <r>
    <x v="36"/>
    <n v="171"/>
    <n v="360"/>
    <n v="0.53"/>
    <n v="2"/>
    <n v="5"/>
    <n v="189"/>
    <x v="1"/>
    <x v="1"/>
    <x v="2"/>
    <x v="0"/>
    <s v="OK"/>
    <x v="1"/>
    <s v="OK"/>
    <s v="OK"/>
    <x v="0"/>
    <n v="0.52500000000000002"/>
    <s v="OK"/>
    <s v="OK"/>
    <s v="OK"/>
    <s v="OK"/>
  </r>
  <r>
    <x v="37"/>
    <n v="389"/>
    <n v="656"/>
    <n v="0.41"/>
    <n v="36"/>
    <n v="4.3"/>
    <n v="267"/>
    <x v="0"/>
    <x v="1"/>
    <x v="2"/>
    <x v="1"/>
    <s v="OK"/>
    <x v="0"/>
    <s v="Flag"/>
    <s v="OK"/>
    <x v="0"/>
    <n v="0.40701219512195119"/>
    <s v="OK"/>
    <s v="OK"/>
    <s v="OK"/>
    <s v="OK"/>
  </r>
  <r>
    <x v="38"/>
    <n v="1800"/>
    <n v="2700"/>
    <n v="0.38"/>
    <n v="2"/>
    <n v="4.5"/>
    <n v="900"/>
    <x v="0"/>
    <x v="0"/>
    <x v="1"/>
    <x v="0"/>
    <s v="OK"/>
    <x v="0"/>
    <s v="OK"/>
    <s v="OK"/>
    <x v="0"/>
    <n v="0.33333333333333331"/>
    <s v="Check"/>
    <s v="OK"/>
    <s v="OK"/>
    <s v="OK"/>
  </r>
  <r>
    <x v="39"/>
    <n v="2750"/>
    <n v="4471"/>
    <n v="0.38"/>
    <m/>
    <m/>
    <n v="1721"/>
    <x v="2"/>
    <x v="0"/>
    <x v="1"/>
    <x v="2"/>
    <s v="Missing"/>
    <x v="2"/>
    <s v="Missing"/>
    <s v="Missing"/>
    <x v="1"/>
    <n v="0.38492507269067322"/>
    <s v="OK"/>
    <s v="OK"/>
    <s v="OK"/>
    <s v="OK"/>
  </r>
  <r>
    <x v="40"/>
    <n v="475"/>
    <n v="931"/>
    <n v="0.49"/>
    <m/>
    <m/>
    <n v="456"/>
    <x v="2"/>
    <x v="1"/>
    <x v="2"/>
    <x v="2"/>
    <s v="Missing"/>
    <x v="2"/>
    <s v="Missing"/>
    <s v="Missing"/>
    <x v="1"/>
    <n v="0.48979591836734693"/>
    <s v="OK"/>
    <s v="OK"/>
    <s v="OK"/>
    <s v="OK"/>
  </r>
  <r>
    <x v="41"/>
    <n v="238"/>
    <n v="476"/>
    <n v="0.5"/>
    <m/>
    <m/>
    <n v="238"/>
    <x v="2"/>
    <x v="1"/>
    <x v="2"/>
    <x v="2"/>
    <s v="Missing"/>
    <x v="2"/>
    <s v="Missing"/>
    <s v="Missing"/>
    <x v="1"/>
    <n v="0.5"/>
    <s v="OK"/>
    <s v="OK"/>
    <s v="OK"/>
    <s v="OK"/>
  </r>
  <r>
    <x v="42"/>
    <n v="610"/>
    <n v="1060"/>
    <n v="0.42"/>
    <m/>
    <m/>
    <n v="450"/>
    <x v="2"/>
    <x v="1"/>
    <x v="0"/>
    <x v="2"/>
    <s v="Missing"/>
    <x v="2"/>
    <s v="Missing"/>
    <s v="Missing"/>
    <x v="1"/>
    <n v="0.42452830188679247"/>
    <s v="OK"/>
    <s v="OK"/>
    <s v="OK"/>
    <s v="OK"/>
  </r>
  <r>
    <x v="43"/>
    <n v="2132"/>
    <n v="2169"/>
    <n v="0.02"/>
    <m/>
    <m/>
    <n v="37"/>
    <x v="2"/>
    <x v="2"/>
    <x v="1"/>
    <x v="2"/>
    <s v="Missing"/>
    <x v="2"/>
    <s v="Missing"/>
    <s v="Missing"/>
    <x v="1"/>
    <n v="1.705855232826187E-2"/>
    <s v="OK"/>
    <s v="OK"/>
    <s v="OK"/>
    <s v="OK"/>
  </r>
  <r>
    <x v="44"/>
    <n v="999"/>
    <n v="2000"/>
    <n v="0.5"/>
    <m/>
    <m/>
    <n v="1001"/>
    <x v="2"/>
    <x v="1"/>
    <x v="0"/>
    <x v="2"/>
    <s v="Missing"/>
    <x v="2"/>
    <s v="Missing"/>
    <s v="Missing"/>
    <x v="1"/>
    <n v="0.50049999999999994"/>
    <s v="OK"/>
    <s v="OK"/>
    <s v="OK"/>
    <s v="OK"/>
  </r>
  <r>
    <x v="45"/>
    <n v="1190"/>
    <n v="1785"/>
    <n v="0.33"/>
    <m/>
    <m/>
    <n v="595"/>
    <x v="2"/>
    <x v="0"/>
    <x v="0"/>
    <x v="2"/>
    <s v="Missing"/>
    <x v="2"/>
    <s v="Missing"/>
    <s v="Missing"/>
    <x v="1"/>
    <n v="0.33333333333333331"/>
    <s v="OK"/>
    <s v="OK"/>
    <s v="OK"/>
    <s v="OK"/>
  </r>
  <r>
    <x v="46"/>
    <n v="671"/>
    <n v="1316"/>
    <n v="0.49"/>
    <m/>
    <m/>
    <n v="645"/>
    <x v="2"/>
    <x v="1"/>
    <x v="0"/>
    <x v="2"/>
    <s v="Missing"/>
    <x v="2"/>
    <s v="Missing"/>
    <s v="Missing"/>
    <x v="1"/>
    <n v="0.49012158054711247"/>
    <s v="OK"/>
    <s v="OK"/>
    <s v="OK"/>
    <s v="OK"/>
  </r>
  <r>
    <x v="47"/>
    <n v="1200"/>
    <n v="1950"/>
    <n v="0.38"/>
    <m/>
    <m/>
    <n v="750"/>
    <x v="2"/>
    <x v="0"/>
    <x v="0"/>
    <x v="2"/>
    <s v="Missing"/>
    <x v="2"/>
    <s v="Missing"/>
    <s v="Missing"/>
    <x v="1"/>
    <n v="0.38461538461538464"/>
    <s v="OK"/>
    <s v="OK"/>
    <s v="OK"/>
    <s v="OK"/>
  </r>
  <r>
    <x v="48"/>
    <n v="199"/>
    <n v="504"/>
    <n v="0.61"/>
    <m/>
    <m/>
    <n v="305"/>
    <x v="2"/>
    <x v="1"/>
    <x v="2"/>
    <x v="2"/>
    <s v="Missing"/>
    <x v="2"/>
    <s v="Missing"/>
    <s v="Missing"/>
    <x v="1"/>
    <n v="0.60515873015873012"/>
    <s v="OK"/>
    <s v="OK"/>
    <s v="OK"/>
    <s v="OK"/>
  </r>
  <r>
    <x v="49"/>
    <n v="299"/>
    <n v="600"/>
    <n v="0.5"/>
    <m/>
    <m/>
    <n v="301"/>
    <x v="2"/>
    <x v="1"/>
    <x v="2"/>
    <x v="2"/>
    <s v="Missing"/>
    <x v="2"/>
    <s v="Missing"/>
    <s v="Missing"/>
    <x v="1"/>
    <n v="0.50166666666666671"/>
    <s v="OK"/>
    <s v="OK"/>
    <s v="OK"/>
    <s v="OK"/>
  </r>
  <r>
    <x v="50"/>
    <n v="1660"/>
    <n v="1699"/>
    <n v="0.02"/>
    <m/>
    <m/>
    <n v="39"/>
    <x v="2"/>
    <x v="2"/>
    <x v="0"/>
    <x v="2"/>
    <s v="Missing"/>
    <x v="2"/>
    <s v="Missing"/>
    <s v="Missing"/>
    <x v="1"/>
    <n v="2.2954679223072396E-2"/>
    <s v="OK"/>
    <s v="OK"/>
    <s v="OK"/>
    <s v="OK"/>
  </r>
  <r>
    <x v="51"/>
    <n v="299"/>
    <n v="384"/>
    <n v="0.22"/>
    <m/>
    <m/>
    <n v="85"/>
    <x v="2"/>
    <x v="0"/>
    <x v="2"/>
    <x v="2"/>
    <s v="Missing"/>
    <x v="2"/>
    <s v="Missing"/>
    <s v="Missing"/>
    <x v="1"/>
    <n v="0.22135416666666666"/>
    <s v="OK"/>
    <s v="OK"/>
    <s v="OK"/>
    <s v="OK"/>
  </r>
  <r>
    <x v="52"/>
    <n v="1459"/>
    <n v="1499"/>
    <n v="0.03"/>
    <m/>
    <m/>
    <n v="40"/>
    <x v="2"/>
    <x v="2"/>
    <x v="0"/>
    <x v="2"/>
    <s v="Missing"/>
    <x v="2"/>
    <s v="Missing"/>
    <s v="Missing"/>
    <x v="1"/>
    <n v="2.6684456304202801E-2"/>
    <s v="OK"/>
    <s v="OK"/>
    <s v="OK"/>
    <s v="OK"/>
  </r>
  <r>
    <x v="53"/>
    <n v="799"/>
    <n v="1343"/>
    <n v="0.41"/>
    <m/>
    <m/>
    <n v="544"/>
    <x v="2"/>
    <x v="1"/>
    <x v="0"/>
    <x v="2"/>
    <s v="Missing"/>
    <x v="2"/>
    <s v="Missing"/>
    <s v="Missing"/>
    <x v="1"/>
    <n v="0.4050632911392405"/>
    <s v="OK"/>
    <s v="OK"/>
    <s v="OK"/>
    <s v="OK"/>
  </r>
  <r>
    <x v="54"/>
    <n v="499"/>
    <n v="900"/>
    <n v="0.45"/>
    <m/>
    <m/>
    <n v="401"/>
    <x v="2"/>
    <x v="1"/>
    <x v="0"/>
    <x v="2"/>
    <s v="Missing"/>
    <x v="2"/>
    <s v="Missing"/>
    <s v="Missing"/>
    <x v="1"/>
    <n v="0.44555555555555554"/>
    <s v="OK"/>
    <s v="OK"/>
    <s v="OK"/>
    <s v="OK"/>
  </r>
  <r>
    <x v="55"/>
    <n v="699"/>
    <n v="1343"/>
    <n v="0.48"/>
    <m/>
    <m/>
    <n v="644"/>
    <x v="2"/>
    <x v="1"/>
    <x v="0"/>
    <x v="2"/>
    <s v="Missing"/>
    <x v="2"/>
    <s v="Missing"/>
    <s v="Missing"/>
    <x v="1"/>
    <n v="0.47952345495160087"/>
    <s v="OK"/>
    <s v="OK"/>
    <s v="OK"/>
    <s v="OK"/>
  </r>
  <r>
    <x v="56"/>
    <n v="799"/>
    <n v="1567"/>
    <n v="0.49"/>
    <m/>
    <m/>
    <n v="768"/>
    <x v="2"/>
    <x v="1"/>
    <x v="0"/>
    <x v="2"/>
    <s v="Missing"/>
    <x v="2"/>
    <s v="Missing"/>
    <s v="Missing"/>
    <x v="1"/>
    <n v="0.49010848755583919"/>
    <s v="OK"/>
    <s v="OK"/>
    <s v="OK"/>
    <s v="OK"/>
  </r>
  <r>
    <x v="57"/>
    <n v="2799"/>
    <n v="3810"/>
    <n v="0.27"/>
    <m/>
    <m/>
    <n v="1011"/>
    <x v="2"/>
    <x v="0"/>
    <x v="1"/>
    <x v="2"/>
    <s v="Missing"/>
    <x v="2"/>
    <s v="Missing"/>
    <s v="Missing"/>
    <x v="1"/>
    <n v="0.26535433070866143"/>
    <s v="OK"/>
    <s v="OK"/>
    <s v="OK"/>
    <s v="OK"/>
  </r>
  <r>
    <x v="54"/>
    <n v="399"/>
    <n v="896"/>
    <n v="0.55000000000000004"/>
    <m/>
    <m/>
    <n v="497"/>
    <x v="2"/>
    <x v="1"/>
    <x v="2"/>
    <x v="2"/>
    <s v="Missing"/>
    <x v="2"/>
    <s v="Missing"/>
    <s v="Missing"/>
    <x v="1"/>
    <n v="0.5546875"/>
    <s v="OK"/>
    <s v="OK"/>
    <s v="OK"/>
    <s v="OK"/>
  </r>
  <r>
    <x v="58"/>
    <n v="2170"/>
    <n v="2500"/>
    <n v="0.13"/>
    <n v="6"/>
    <n v="2.5"/>
    <n v="330"/>
    <x v="3"/>
    <x v="2"/>
    <x v="1"/>
    <x v="0"/>
    <s v="OK"/>
    <x v="0"/>
    <s v="OK"/>
    <s v="OK"/>
    <x v="0"/>
    <n v="0.13200000000000001"/>
    <s v="OK"/>
    <s v="OK"/>
    <s v="OK"/>
    <s v="OK"/>
  </r>
  <r>
    <x v="59"/>
    <n v="458"/>
    <n v="986"/>
    <n v="0.54"/>
    <n v="10"/>
    <n v="3"/>
    <n v="528"/>
    <x v="0"/>
    <x v="1"/>
    <x v="2"/>
    <x v="0"/>
    <s v="OK"/>
    <x v="1"/>
    <s v="OK"/>
    <s v="OK"/>
    <x v="0"/>
    <n v="0.53549695740365111"/>
    <s v="OK"/>
    <s v="OK"/>
    <s v="OK"/>
    <s v="OK"/>
  </r>
  <r>
    <x v="60"/>
    <n v="2115"/>
    <n v="4700"/>
    <n v="0.55000000000000004"/>
    <n v="13"/>
    <n v="2.1"/>
    <n v="2585"/>
    <x v="3"/>
    <x v="1"/>
    <x v="1"/>
    <x v="0"/>
    <s v="Flag"/>
    <x v="1"/>
    <s v="OK"/>
    <s v="OK"/>
    <x v="0"/>
    <n v="0.55000000000000004"/>
    <s v="OK"/>
    <s v="OK"/>
    <s v="OK"/>
    <s v="OK"/>
  </r>
  <r>
    <x v="61"/>
    <n v="445"/>
    <n v="873"/>
    <n v="0.49"/>
    <n v="69"/>
    <n v="2.8"/>
    <n v="428"/>
    <x v="3"/>
    <x v="1"/>
    <x v="2"/>
    <x v="1"/>
    <s v="Flag"/>
    <x v="0"/>
    <s v="OK"/>
    <s v="OK"/>
    <x v="0"/>
    <n v="0.49026345933562426"/>
    <s v="OK"/>
    <s v="OK"/>
    <s v="OK"/>
    <s v="OK"/>
  </r>
  <r>
    <x v="62"/>
    <n v="325"/>
    <n v="680"/>
    <n v="0.52"/>
    <n v="15"/>
    <n v="2.7"/>
    <n v="355"/>
    <x v="3"/>
    <x v="1"/>
    <x v="2"/>
    <x v="1"/>
    <s v="Flag"/>
    <x v="0"/>
    <s v="OK"/>
    <s v="OK"/>
    <x v="0"/>
    <n v="0.5220588235294118"/>
    <s v="OK"/>
    <s v="OK"/>
    <s v="OK"/>
    <s v="OK"/>
  </r>
  <r>
    <x v="63"/>
    <n v="1220"/>
    <n v="1555"/>
    <n v="0.22"/>
    <n v="16"/>
    <n v="2.9"/>
    <n v="335"/>
    <x v="3"/>
    <x v="0"/>
    <x v="0"/>
    <x v="1"/>
    <s v="OK"/>
    <x v="0"/>
    <s v="OK"/>
    <s v="OK"/>
    <x v="0"/>
    <n v="0.21543408360128619"/>
    <s v="OK"/>
    <s v="OK"/>
    <s v="OK"/>
    <s v="OK"/>
  </r>
  <r>
    <x v="64"/>
    <n v="990"/>
    <n v="1814"/>
    <n v="0.45"/>
    <n v="6"/>
    <n v="2.2000000000000002"/>
    <n v="824"/>
    <x v="3"/>
    <x v="1"/>
    <x v="0"/>
    <x v="0"/>
    <s v="Flag"/>
    <x v="1"/>
    <s v="OK"/>
    <s v="OK"/>
    <x v="0"/>
    <n v="0.45424476295479604"/>
    <s v="OK"/>
    <s v="OK"/>
    <s v="OK"/>
    <s v="OK"/>
  </r>
  <r>
    <x v="65"/>
    <n v="1000"/>
    <n v="2000"/>
    <n v="0.5"/>
    <n v="7"/>
    <n v="2.2999999999999998"/>
    <n v="1000"/>
    <x v="3"/>
    <x v="1"/>
    <x v="0"/>
    <x v="0"/>
    <s v="Flag"/>
    <x v="1"/>
    <s v="OK"/>
    <s v="OK"/>
    <x v="0"/>
    <n v="0.5"/>
    <s v="OK"/>
    <s v="OK"/>
    <s v="OK"/>
    <s v="OK"/>
  </r>
  <r>
    <x v="66"/>
    <n v="3750"/>
    <n v="6143"/>
    <n v="0.39"/>
    <n v="5"/>
    <n v="3"/>
    <n v="2393"/>
    <x v="0"/>
    <x v="0"/>
    <x v="1"/>
    <x v="0"/>
    <s v="OK"/>
    <x v="0"/>
    <s v="OK"/>
    <s v="OK"/>
    <x v="0"/>
    <n v="0.38954908025394758"/>
    <s v="OK"/>
    <s v="OK"/>
    <s v="OK"/>
    <s v="OK"/>
  </r>
  <r>
    <x v="67"/>
    <n v="382"/>
    <n v="700"/>
    <n v="0.45"/>
    <n v="17"/>
    <n v="2.6"/>
    <n v="318"/>
    <x v="3"/>
    <x v="1"/>
    <x v="2"/>
    <x v="1"/>
    <s v="Flag"/>
    <x v="0"/>
    <s v="OK"/>
    <s v="OK"/>
    <x v="0"/>
    <n v="0.45428571428571429"/>
    <s v="OK"/>
    <s v="OK"/>
    <s v="OK"/>
    <s v="OK"/>
  </r>
  <r>
    <x v="68"/>
    <n v="2300"/>
    <n v="3240"/>
    <n v="0.28999999999999998"/>
    <n v="5"/>
    <n v="3"/>
    <n v="940"/>
    <x v="0"/>
    <x v="0"/>
    <x v="1"/>
    <x v="0"/>
    <s v="OK"/>
    <x v="0"/>
    <s v="OK"/>
    <s v="OK"/>
    <x v="0"/>
    <n v="0.29012345679012347"/>
    <s v="OK"/>
    <s v="OK"/>
    <s v="OK"/>
    <s v="OK"/>
  </r>
  <r>
    <x v="69"/>
    <n v="345"/>
    <n v="602"/>
    <n v="0.43"/>
    <n v="6"/>
    <n v="2.2999999999999998"/>
    <n v="257"/>
    <x v="3"/>
    <x v="1"/>
    <x v="2"/>
    <x v="0"/>
    <s v="Flag"/>
    <x v="1"/>
    <s v="OK"/>
    <s v="OK"/>
    <x v="0"/>
    <n v="0.42691029900332228"/>
    <s v="OK"/>
    <s v="OK"/>
    <s v="OK"/>
    <s v="OK"/>
  </r>
  <r>
    <x v="70"/>
    <n v="509"/>
    <n v="899"/>
    <n v="0.43"/>
    <n v="5"/>
    <n v="3"/>
    <n v="390"/>
    <x v="0"/>
    <x v="1"/>
    <x v="0"/>
    <x v="0"/>
    <s v="OK"/>
    <x v="1"/>
    <s v="OK"/>
    <s v="OK"/>
    <x v="0"/>
    <n v="0.43381535038932145"/>
    <s v="OK"/>
    <s v="OK"/>
    <s v="OK"/>
    <s v="OK"/>
  </r>
  <r>
    <x v="71"/>
    <n v="968"/>
    <n v="1814"/>
    <n v="0.47"/>
    <n v="6"/>
    <n v="2.2000000000000002"/>
    <n v="846"/>
    <x v="3"/>
    <x v="1"/>
    <x v="0"/>
    <x v="0"/>
    <s v="Flag"/>
    <x v="1"/>
    <s v="OK"/>
    <s v="OK"/>
    <x v="0"/>
    <n v="0.46637265711135611"/>
    <s v="OK"/>
    <s v="OK"/>
    <s v="OK"/>
    <s v="OK"/>
  </r>
  <r>
    <x v="72"/>
    <n v="1570"/>
    <n v="2988"/>
    <n v="0.47"/>
    <n v="7"/>
    <n v="2.1"/>
    <n v="1418"/>
    <x v="3"/>
    <x v="1"/>
    <x v="0"/>
    <x v="0"/>
    <s v="Flag"/>
    <x v="1"/>
    <s v="OK"/>
    <s v="OK"/>
    <x v="0"/>
    <n v="0.4745649263721553"/>
    <s v="OK"/>
    <s v="OK"/>
    <s v="OK"/>
    <s v="OK"/>
  </r>
  <r>
    <x v="73"/>
    <n v="790"/>
    <n v="1485"/>
    <n v="0.47"/>
    <m/>
    <m/>
    <n v="695"/>
    <x v="2"/>
    <x v="1"/>
    <x v="0"/>
    <x v="2"/>
    <s v="Missing"/>
    <x v="2"/>
    <s v="Missing"/>
    <s v="Missing"/>
    <x v="1"/>
    <n v="0.46801346801346799"/>
    <s v="OK"/>
    <s v="OK"/>
    <s v="OK"/>
    <s v="OK"/>
  </r>
  <r>
    <x v="74"/>
    <n v="690"/>
    <n v="1200"/>
    <n v="0.43"/>
    <m/>
    <m/>
    <n v="510"/>
    <x v="2"/>
    <x v="1"/>
    <x v="0"/>
    <x v="2"/>
    <s v="Missing"/>
    <x v="2"/>
    <s v="Missing"/>
    <s v="Missing"/>
    <x v="1"/>
    <n v="0.42499999999999999"/>
    <s v="OK"/>
    <s v="OK"/>
    <s v="OK"/>
    <s v="OK"/>
  </r>
  <r>
    <x v="75"/>
    <n v="1732"/>
    <n v="1799"/>
    <n v="0.04"/>
    <m/>
    <m/>
    <n v="67"/>
    <x v="2"/>
    <x v="2"/>
    <x v="1"/>
    <x v="2"/>
    <s v="Missing"/>
    <x v="2"/>
    <s v="Missing"/>
    <s v="Missing"/>
    <x v="1"/>
    <n v="3.7242912729294052E-2"/>
    <s v="OK"/>
    <s v="OK"/>
    <s v="OK"/>
    <s v="OK"/>
  </r>
  <r>
    <x v="76"/>
    <n v="230"/>
    <n v="450"/>
    <n v="0.49"/>
    <m/>
    <m/>
    <n v="220"/>
    <x v="2"/>
    <x v="1"/>
    <x v="2"/>
    <x v="2"/>
    <s v="Missing"/>
    <x v="2"/>
    <s v="Missing"/>
    <s v="Missing"/>
    <x v="1"/>
    <n v="0.48888888888888887"/>
    <s v="OK"/>
    <s v="OK"/>
    <s v="OK"/>
    <s v="OK"/>
  </r>
  <r>
    <x v="77"/>
    <n v="1189"/>
    <n v="2199"/>
    <n v="0.46"/>
    <n v="1"/>
    <n v="3"/>
    <n v="1010"/>
    <x v="0"/>
    <x v="1"/>
    <x v="0"/>
    <x v="0"/>
    <s v="OK"/>
    <x v="1"/>
    <s v="OK"/>
    <s v="OK"/>
    <x v="0"/>
    <n v="0.45929968167348795"/>
    <s v="OK"/>
    <s v="OK"/>
    <s v="OK"/>
    <s v="OK"/>
  </r>
  <r>
    <x v="78"/>
    <n v="979"/>
    <n v="1920"/>
    <n v="0.49"/>
    <n v="1"/>
    <n v="5"/>
    <n v="941"/>
    <x v="1"/>
    <x v="1"/>
    <x v="0"/>
    <x v="0"/>
    <s v="OK"/>
    <x v="1"/>
    <s v="OK"/>
    <s v="OK"/>
    <x v="0"/>
    <n v="0.49010416666666667"/>
    <s v="OK"/>
    <s v="OK"/>
    <s v="OK"/>
    <s v="OK"/>
  </r>
  <r>
    <x v="79"/>
    <n v="1460"/>
    <n v="2290"/>
    <n v="0.36"/>
    <m/>
    <m/>
    <n v="830"/>
    <x v="2"/>
    <x v="0"/>
    <x v="0"/>
    <x v="2"/>
    <s v="Missing"/>
    <x v="2"/>
    <s v="Missing"/>
    <s v="Missing"/>
    <x v="1"/>
    <n v="0.36244541484716158"/>
    <s v="OK"/>
    <s v="OK"/>
    <s v="OK"/>
    <s v="OK"/>
  </r>
  <r>
    <x v="80"/>
    <n v="1666"/>
    <n v="1699"/>
    <n v="0.02"/>
    <m/>
    <m/>
    <n v="33"/>
    <x v="2"/>
    <x v="2"/>
    <x v="0"/>
    <x v="2"/>
    <s v="Missing"/>
    <x v="2"/>
    <s v="Missing"/>
    <s v="Missing"/>
    <x v="1"/>
    <n v="1.9423190111830489E-2"/>
    <s v="OK"/>
    <s v="OK"/>
    <s v="OK"/>
    <s v="OK"/>
  </r>
  <r>
    <x v="81"/>
    <n v="330"/>
    <n v="647"/>
    <n v="0.49"/>
    <n v="1"/>
    <n v="4"/>
    <n v="317"/>
    <x v="0"/>
    <x v="1"/>
    <x v="2"/>
    <x v="0"/>
    <s v="OK"/>
    <x v="1"/>
    <s v="OK"/>
    <s v="OK"/>
    <x v="0"/>
    <n v="0.48995363214837712"/>
    <s v="OK"/>
    <s v="OK"/>
    <s v="OK"/>
    <s v="OK"/>
  </r>
  <r>
    <x v="48"/>
    <n v="176"/>
    <n v="345"/>
    <n v="0.49"/>
    <m/>
    <m/>
    <n v="169"/>
    <x v="2"/>
    <x v="1"/>
    <x v="2"/>
    <x v="2"/>
    <s v="Missing"/>
    <x v="2"/>
    <s v="Missing"/>
    <s v="Missing"/>
    <x v="1"/>
    <n v="0.48985507246376814"/>
    <s v="OK"/>
    <s v="OK"/>
    <s v="OK"/>
    <s v="OK"/>
  </r>
  <r>
    <x v="82"/>
    <n v="1466"/>
    <n v="1699"/>
    <n v="0.14000000000000001"/>
    <m/>
    <m/>
    <n v="233"/>
    <x v="2"/>
    <x v="2"/>
    <x v="0"/>
    <x v="2"/>
    <s v="Missing"/>
    <x v="2"/>
    <s v="Missing"/>
    <s v="Missing"/>
    <x v="1"/>
    <n v="0.13713949381989404"/>
    <s v="OK"/>
    <s v="OK"/>
    <s v="OK"/>
    <s v="OK"/>
  </r>
  <r>
    <x v="83"/>
    <n v="274"/>
    <n v="537"/>
    <n v="0.49"/>
    <m/>
    <m/>
    <n v="263"/>
    <x v="2"/>
    <x v="1"/>
    <x v="2"/>
    <x v="2"/>
    <s v="Missing"/>
    <x v="2"/>
    <s v="Missing"/>
    <s v="Missing"/>
    <x v="1"/>
    <n v="0.48975791433891991"/>
    <s v="OK"/>
    <s v="OK"/>
    <s v="OK"/>
    <s v="OK"/>
  </r>
  <r>
    <x v="84"/>
    <n v="799"/>
    <n v="900"/>
    <n v="0.11"/>
    <m/>
    <m/>
    <n v="101"/>
    <x v="2"/>
    <x v="2"/>
    <x v="0"/>
    <x v="2"/>
    <s v="Missing"/>
    <x v="2"/>
    <s v="Missing"/>
    <s v="Missing"/>
    <x v="1"/>
    <n v="0.11222222222222222"/>
    <s v="OK"/>
    <s v="OK"/>
    <s v="OK"/>
    <s v="OK"/>
  </r>
  <r>
    <x v="56"/>
    <n v="657"/>
    <n v="1288"/>
    <n v="0.49"/>
    <m/>
    <m/>
    <n v="631"/>
    <x v="2"/>
    <x v="1"/>
    <x v="0"/>
    <x v="2"/>
    <s v="Missing"/>
    <x v="2"/>
    <s v="Missing"/>
    <s v="Missing"/>
    <x v="1"/>
    <n v="0.48990683229813664"/>
    <s v="OK"/>
    <s v="OK"/>
    <s v="OK"/>
    <s v="OK"/>
  </r>
  <r>
    <x v="85"/>
    <n v="1468"/>
    <n v="1699"/>
    <n v="0.14000000000000001"/>
    <m/>
    <m/>
    <n v="231"/>
    <x v="2"/>
    <x v="2"/>
    <x v="0"/>
    <x v="2"/>
    <s v="Missing"/>
    <x v="2"/>
    <s v="Missing"/>
    <s v="Missing"/>
    <x v="1"/>
    <n v="0.13596233078281342"/>
    <s v="OK"/>
    <s v="OK"/>
    <s v="OK"/>
    <s v="OK"/>
  </r>
  <r>
    <x v="86"/>
    <n v="630"/>
    <n v="1100"/>
    <n v="0.43"/>
    <m/>
    <m/>
    <n v="470"/>
    <x v="2"/>
    <x v="1"/>
    <x v="0"/>
    <x v="2"/>
    <s v="Missing"/>
    <x v="2"/>
    <s v="Missing"/>
    <s v="Missing"/>
    <x v="1"/>
    <n v="0.42727272727272725"/>
    <s v="OK"/>
    <s v="OK"/>
    <s v="OK"/>
    <s v="OK"/>
  </r>
  <r>
    <x v="87"/>
    <n v="850"/>
    <n v="1700"/>
    <n v="0.5"/>
    <m/>
    <m/>
    <n v="850"/>
    <x v="2"/>
    <x v="1"/>
    <x v="0"/>
    <x v="2"/>
    <s v="Missing"/>
    <x v="2"/>
    <s v="Missing"/>
    <s v="Missing"/>
    <x v="1"/>
    <n v="0.5"/>
    <s v="OK"/>
    <s v="OK"/>
    <s v="OK"/>
    <s v="OK"/>
  </r>
  <r>
    <x v="88"/>
    <n v="1300"/>
    <n v="2500"/>
    <n v="0.48"/>
    <m/>
    <m/>
    <n v="1200"/>
    <x v="2"/>
    <x v="1"/>
    <x v="0"/>
    <x v="2"/>
    <s v="Missing"/>
    <x v="2"/>
    <s v="Missing"/>
    <s v="Missing"/>
    <x v="1"/>
    <n v="0.48"/>
    <s v="OK"/>
    <s v="OK"/>
    <s v="OK"/>
    <s v="OK"/>
  </r>
  <r>
    <x v="89"/>
    <n v="105"/>
    <n v="200"/>
    <n v="0.48"/>
    <m/>
    <m/>
    <n v="95"/>
    <x v="2"/>
    <x v="1"/>
    <x v="2"/>
    <x v="2"/>
    <s v="Missing"/>
    <x v="2"/>
    <s v="Missing"/>
    <s v="Missing"/>
    <x v="1"/>
    <n v="0.47499999999999998"/>
    <s v="OK"/>
    <s v="OK"/>
    <s v="OK"/>
    <s v="OK"/>
  </r>
  <r>
    <x v="90"/>
    <n v="899"/>
    <n v="1699"/>
    <n v="0.47"/>
    <m/>
    <m/>
    <n v="800"/>
    <x v="2"/>
    <x v="1"/>
    <x v="0"/>
    <x v="2"/>
    <s v="Missing"/>
    <x v="2"/>
    <s v="Missing"/>
    <s v="Missing"/>
    <x v="1"/>
    <n v="0.47086521483225424"/>
    <s v="OK"/>
    <s v="OK"/>
    <s v="OK"/>
    <s v="OK"/>
  </r>
  <r>
    <x v="91"/>
    <n v="1200"/>
    <n v="2400"/>
    <n v="0.5"/>
    <m/>
    <m/>
    <n v="1200"/>
    <x v="2"/>
    <x v="1"/>
    <x v="0"/>
    <x v="2"/>
    <s v="Missing"/>
    <x v="2"/>
    <s v="Missing"/>
    <s v="Missing"/>
    <x v="1"/>
    <n v="0.5"/>
    <s v="OK"/>
    <s v="OK"/>
    <s v="OK"/>
    <s v="OK"/>
  </r>
  <r>
    <x v="92"/>
    <n v="1526"/>
    <n v="1660"/>
    <n v="0.08"/>
    <m/>
    <m/>
    <n v="134"/>
    <x v="2"/>
    <x v="2"/>
    <x v="0"/>
    <x v="2"/>
    <s v="Missing"/>
    <x v="2"/>
    <s v="Missing"/>
    <s v="Missing"/>
    <x v="1"/>
    <n v="8.0722891566265054E-2"/>
    <s v="OK"/>
    <s v="OK"/>
    <s v="OK"/>
    <s v="OK"/>
  </r>
  <r>
    <x v="93"/>
    <n v="1462"/>
    <n v="1499"/>
    <n v="0.02"/>
    <m/>
    <m/>
    <n v="37"/>
    <x v="2"/>
    <x v="2"/>
    <x v="0"/>
    <x v="2"/>
    <s v="Missing"/>
    <x v="2"/>
    <s v="Missing"/>
    <s v="Missing"/>
    <x v="1"/>
    <n v="2.4683122081387593E-2"/>
    <s v="OK"/>
    <s v="OK"/>
    <s v="OK"/>
    <s v="OK"/>
  </r>
  <r>
    <x v="94"/>
    <n v="248"/>
    <n v="486"/>
    <n v="0.49"/>
    <m/>
    <m/>
    <n v="238"/>
    <x v="2"/>
    <x v="1"/>
    <x v="2"/>
    <x v="2"/>
    <s v="Missing"/>
    <x v="2"/>
    <s v="Missing"/>
    <s v="Missing"/>
    <x v="1"/>
    <n v="0.48971193415637859"/>
    <s v="OK"/>
    <s v="OK"/>
    <s v="OK"/>
    <s v="OK"/>
  </r>
  <r>
    <x v="95"/>
    <n v="3546"/>
    <n v="3699"/>
    <n v="0.04"/>
    <m/>
    <m/>
    <n v="153"/>
    <x v="2"/>
    <x v="2"/>
    <x v="1"/>
    <x v="2"/>
    <s v="Missing"/>
    <x v="2"/>
    <s v="Missing"/>
    <s v="Missing"/>
    <x v="1"/>
    <n v="4.1362530413625302E-2"/>
    <s v="OK"/>
    <s v="OK"/>
    <s v="OK"/>
    <s v="OK"/>
  </r>
  <r>
    <x v="96"/>
    <n v="525"/>
    <n v="1029"/>
    <n v="0.49"/>
    <m/>
    <m/>
    <n v="504"/>
    <x v="2"/>
    <x v="1"/>
    <x v="0"/>
    <x v="2"/>
    <s v="Missing"/>
    <x v="2"/>
    <s v="Missing"/>
    <s v="Missing"/>
    <x v="1"/>
    <n v="0.48979591836734693"/>
    <s v="OK"/>
    <s v="OK"/>
    <s v="OK"/>
    <s v="OK"/>
  </r>
  <r>
    <x v="97"/>
    <n v="1080"/>
    <n v="1874"/>
    <n v="0.42"/>
    <m/>
    <m/>
    <n v="794"/>
    <x v="2"/>
    <x v="1"/>
    <x v="0"/>
    <x v="2"/>
    <s v="Missing"/>
    <x v="2"/>
    <s v="Missing"/>
    <s v="Missing"/>
    <x v="1"/>
    <n v="0.42369263607257202"/>
    <s v="OK"/>
    <s v="OK"/>
    <s v="OK"/>
    <s v="OK"/>
  </r>
  <r>
    <x v="98"/>
    <n v="3640"/>
    <n v="4588"/>
    <n v="0.21"/>
    <n v="1"/>
    <n v="5"/>
    <n v="948"/>
    <x v="1"/>
    <x v="0"/>
    <x v="1"/>
    <x v="0"/>
    <s v="OK"/>
    <x v="0"/>
    <s v="OK"/>
    <s v="OK"/>
    <x v="0"/>
    <n v="0.20662598081952921"/>
    <s v="OK"/>
    <s v="OK"/>
    <s v="OK"/>
    <s v="OK"/>
  </r>
  <r>
    <x v="99"/>
    <n v="1420"/>
    <n v="2420"/>
    <n v="0.41"/>
    <m/>
    <m/>
    <n v="1000"/>
    <x v="2"/>
    <x v="1"/>
    <x v="0"/>
    <x v="2"/>
    <s v="Missing"/>
    <x v="2"/>
    <s v="Missing"/>
    <s v="Missing"/>
    <x v="1"/>
    <n v="0.41322314049586778"/>
    <s v="OK"/>
    <s v="OK"/>
    <s v="OK"/>
    <s v="OK"/>
  </r>
  <r>
    <x v="100"/>
    <n v="1875"/>
    <n v="1899"/>
    <n v="0.01"/>
    <m/>
    <m/>
    <n v="24"/>
    <x v="2"/>
    <x v="2"/>
    <x v="1"/>
    <x v="2"/>
    <s v="Missing"/>
    <x v="2"/>
    <s v="Missing"/>
    <s v="Missing"/>
    <x v="1"/>
    <n v="1.2638230647709321E-2"/>
    <s v="OK"/>
    <s v="OK"/>
    <s v="OK"/>
    <s v="OK"/>
  </r>
  <r>
    <x v="101"/>
    <n v="198"/>
    <n v="260"/>
    <n v="0.24"/>
    <m/>
    <m/>
    <n v="62"/>
    <x v="2"/>
    <x v="0"/>
    <x v="2"/>
    <x v="2"/>
    <s v="Missing"/>
    <x v="2"/>
    <s v="Missing"/>
    <s v="Missing"/>
    <x v="1"/>
    <n v="0.23846153846153847"/>
    <s v="OK"/>
    <s v="OK"/>
    <s v="OK"/>
    <s v="OK"/>
  </r>
  <r>
    <x v="102"/>
    <n v="1150"/>
    <n v="1737"/>
    <n v="0.34"/>
    <m/>
    <m/>
    <n v="587"/>
    <x v="2"/>
    <x v="0"/>
    <x v="0"/>
    <x v="2"/>
    <s v="Missing"/>
    <x v="2"/>
    <s v="Missing"/>
    <s v="Missing"/>
    <x v="1"/>
    <n v="0.3379389752446747"/>
    <s v="OK"/>
    <s v="OK"/>
    <s v="OK"/>
    <s v="OK"/>
  </r>
  <r>
    <x v="103"/>
    <n v="1190"/>
    <n v="1810"/>
    <n v="0.34"/>
    <m/>
    <m/>
    <n v="620"/>
    <x v="2"/>
    <x v="0"/>
    <x v="0"/>
    <x v="2"/>
    <s v="Missing"/>
    <x v="2"/>
    <s v="Missing"/>
    <s v="Missing"/>
    <x v="1"/>
    <n v="0.34254143646408841"/>
    <s v="OK"/>
    <s v="OK"/>
    <s v="OK"/>
    <s v="OK"/>
  </r>
  <r>
    <x v="104"/>
    <n v="1658"/>
    <n v="1699"/>
    <n v="0.02"/>
    <m/>
    <m/>
    <n v="41"/>
    <x v="2"/>
    <x v="2"/>
    <x v="0"/>
    <x v="2"/>
    <s v="Missing"/>
    <x v="2"/>
    <s v="Missing"/>
    <s v="Missing"/>
    <x v="1"/>
    <n v="2.4131842260153032E-2"/>
    <s v="OK"/>
    <s v="OK"/>
    <s v="OK"/>
    <s v="OK"/>
  </r>
  <r>
    <x v="105"/>
    <n v="1768"/>
    <n v="1799"/>
    <n v="0.02"/>
    <m/>
    <m/>
    <n v="31"/>
    <x v="2"/>
    <x v="2"/>
    <x v="1"/>
    <x v="2"/>
    <s v="Missing"/>
    <x v="2"/>
    <s v="Missing"/>
    <s v="Missing"/>
    <x v="1"/>
    <n v="1.7231795441912175E-2"/>
    <s v="OK"/>
    <s v="OK"/>
    <s v="OK"/>
    <s v="OK"/>
  </r>
  <r>
    <x v="106"/>
    <n v="199"/>
    <n v="553"/>
    <n v="0.64"/>
    <m/>
    <m/>
    <n v="354"/>
    <x v="2"/>
    <x v="1"/>
    <x v="2"/>
    <x v="2"/>
    <s v="Missing"/>
    <x v="2"/>
    <s v="Missing"/>
    <s v="Missing"/>
    <x v="1"/>
    <n v="0.64014466546112114"/>
    <s v="OK"/>
    <s v="OK"/>
    <s v="OK"/>
    <s v="OK"/>
  </r>
  <r>
    <x v="107"/>
    <n v="450"/>
    <n v="900"/>
    <n v="0.5"/>
    <n v="1"/>
    <n v="2"/>
    <n v="450"/>
    <x v="3"/>
    <x v="1"/>
    <x v="2"/>
    <x v="0"/>
    <s v="Flag"/>
    <x v="1"/>
    <s v="OK"/>
    <s v="OK"/>
    <x v="0"/>
    <n v="0.5"/>
    <s v="OK"/>
    <s v="OK"/>
    <s v="OK"/>
    <s v="OK"/>
  </r>
  <r>
    <x v="108"/>
    <n v="169"/>
    <n v="320"/>
    <n v="0.47"/>
    <m/>
    <m/>
    <n v="151"/>
    <x v="2"/>
    <x v="1"/>
    <x v="2"/>
    <x v="2"/>
    <s v="Missing"/>
    <x v="2"/>
    <s v="Missing"/>
    <s v="Missing"/>
    <x v="1"/>
    <n v="0.47187499999999999"/>
    <s v="OK"/>
    <s v="OK"/>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6EBA17-9EC1-4714-B4AB-8F434014CAD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86:C97" firstHeaderRow="0" firstDataRow="1" firstDataCol="1"/>
  <pivotFields count="21">
    <pivotField axis="axisRow" showAll="0" measureFilter="1" sortType="descending">
      <items count="110">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77"/>
    </i>
    <i>
      <x v="78"/>
    </i>
    <i>
      <x v="55"/>
    </i>
    <i>
      <x v="38"/>
    </i>
    <i>
      <x v="41"/>
    </i>
    <i>
      <x v="24"/>
    </i>
    <i>
      <x v="56"/>
    </i>
    <i>
      <x v="88"/>
    </i>
    <i>
      <x v="44"/>
    </i>
    <i>
      <x v="48"/>
    </i>
    <i t="grand">
      <x/>
    </i>
  </rowItems>
  <colFields count="1">
    <field x="-2"/>
  </colFields>
  <colItems count="2">
    <i>
      <x/>
    </i>
    <i i="1">
      <x v="1"/>
    </i>
  </colItems>
  <dataFields count="2">
    <dataField name="Average of Discount" fld="3" subtotal="average" baseField="0" baseItem="0" numFmtId="9"/>
    <dataField name="Sum of Review" fld="4" baseField="0" baseItem="0"/>
  </dataFields>
  <formats count="3">
    <format dxfId="2">
      <pivotArea dataOnly="0" labelOnly="1" outline="0" axis="axisValues" fieldPosition="0"/>
    </format>
    <format dxfId="1">
      <pivotArea dataOnly="0" labelOnly="1" outline="0" fieldPosition="0">
        <references count="1">
          <reference field="4294967294" count="1">
            <x v="0"/>
          </reference>
        </references>
      </pivotArea>
    </format>
    <format dxfId="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13076-74C6-4248-84CA-C5771174CDB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I86:J97" firstHeaderRow="1"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5"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1F45F-8F9D-4FDA-A944-17D75CAF8126}"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location ref="A102:C113" firstHeaderRow="0" firstDataRow="1" firstDataCol="1" rowPageCount="2" colPageCount="1"/>
  <pivotFields count="21">
    <pivotField axis="axisRow" showAll="0" sortType="descending">
      <items count="110">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9" showAll="0"/>
    <pivotField showAll="0"/>
    <pivotField dataField="1" showAll="0"/>
    <pivotField showAll="0"/>
    <pivotField axis="axisPage" showAll="0">
      <items count="5">
        <item x="0"/>
        <item x="1"/>
        <item x="2"/>
        <item x="3"/>
        <item t="default"/>
      </items>
    </pivotField>
    <pivotField axis="axisPage" showAll="0">
      <items count="4">
        <item x="1"/>
        <item x="2"/>
        <item x="0"/>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78"/>
    </i>
    <i>
      <x v="44"/>
    </i>
    <i>
      <x v="91"/>
    </i>
    <i>
      <x v="4"/>
    </i>
    <i>
      <x v="103"/>
    </i>
    <i>
      <x v="73"/>
    </i>
    <i>
      <x v="50"/>
    </i>
    <i>
      <x v="70"/>
    </i>
    <i>
      <x v="67"/>
    </i>
    <i>
      <x v="2"/>
    </i>
    <i t="grand">
      <x/>
    </i>
  </rowItems>
  <colFields count="1">
    <field x="-2"/>
  </colFields>
  <colItems count="2">
    <i>
      <x/>
    </i>
    <i i="1">
      <x v="1"/>
    </i>
  </colItems>
  <pageFields count="2">
    <pageField fld="8" item="0" hier="-1"/>
    <pageField fld="7" item="3" hier="-1"/>
  </pageFields>
  <dataFields count="2">
    <dataField name="Average of Discount" fld="3" subtotal="average" baseField="0" baseItem="0" numFmtId="9"/>
    <dataField name="Average of Rating"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807772-1E69-427C-8E0C-F4ED2575996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I102:J109" firstHeaderRow="1" firstDataRow="1" firstDataCol="1" rowPageCount="2" colPageCount="1"/>
  <pivotFields count="21">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dataField="1" showAll="0"/>
    <pivotField showAll="0"/>
    <pivotField showAll="0"/>
    <pivotField axis="axisPage" showAll="0">
      <items count="5">
        <item x="0"/>
        <item x="1"/>
        <item x="2"/>
        <item x="3"/>
        <item t="default"/>
      </items>
    </pivotField>
    <pivotField showAll="0"/>
    <pivotField showAll="0"/>
    <pivotField axis="axisPage" showAll="0">
      <items count="4">
        <item x="2"/>
        <item x="1"/>
        <item x="0"/>
        <item t="default"/>
      </items>
    </pivotField>
    <pivotField showAll="0"/>
    <pivotField showAll="0"/>
    <pivotField showAll="0"/>
    <pivotField showAll="0"/>
    <pivotField showAll="0"/>
    <pivotField numFmtId="9" showAll="0"/>
    <pivotField showAll="0"/>
    <pivotField showAll="0"/>
    <pivotField showAll="0"/>
    <pivotField showAll="0"/>
  </pivotFields>
  <rowFields count="1">
    <field x="0"/>
  </rowFields>
  <rowItems count="7">
    <i>
      <x v="95"/>
    </i>
    <i>
      <x v="27"/>
    </i>
    <i>
      <x v="26"/>
    </i>
    <i>
      <x v="11"/>
    </i>
    <i>
      <x v="77"/>
    </i>
    <i>
      <x v="61"/>
    </i>
    <i t="grand">
      <x/>
    </i>
  </rowItems>
  <colItems count="1">
    <i/>
  </colItems>
  <pageFields count="2">
    <pageField fld="7" item="0" hier="-1"/>
    <pageField fld="10" item="1" hier="-1"/>
  </pageFields>
  <dataFields count="1">
    <dataField name="Sum of Review"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3A2A37-D7DA-414F-88AB-2D384A8C2F6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75:C83" firstHeaderRow="0"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8">
    <i>
      <x v="40"/>
    </i>
    <i>
      <x v="68"/>
    </i>
    <i>
      <x v="65"/>
    </i>
    <i>
      <x v="44"/>
    </i>
    <i>
      <x v="87"/>
    </i>
    <i>
      <x v="52"/>
    </i>
    <i>
      <x v="57"/>
    </i>
    <i t="grand">
      <x/>
    </i>
  </rowItems>
  <colFields count="1">
    <field x="-2"/>
  </colFields>
  <colItems count="2">
    <i>
      <x/>
    </i>
    <i i="1">
      <x v="1"/>
    </i>
  </colItems>
  <dataFields count="2">
    <dataField name="Average of Rating" fld="5" subtotal="average" baseField="0" baseItem="0"/>
    <dataField name="Sum of Review" fld="4" baseField="0" baseItem="0"/>
  </dataFields>
  <formats count="2">
    <format dxfId="4">
      <pivotArea dataOnly="0" labelOnly="1" outline="0" fieldPosition="0">
        <references count="1">
          <reference field="4294967294" count="1">
            <x v="0"/>
          </reference>
        </references>
      </pivotArea>
    </format>
    <format dxfId="3">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2FC842-44F8-409F-B943-B85849F24AB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E86:F97" firstHeaderRow="1"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351002-F94A-46CD-AE41-084DAE0F4CB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E77:G83" firstHeaderRow="0" firstDataRow="1" firstDataCol="1" rowPageCount="1" colPageCount="1"/>
  <pivotFields count="21">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dataField="1" showAll="0"/>
    <pivotField dataField="1"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numFmtId="9" showAll="0"/>
    <pivotField showAll="0"/>
    <pivotField showAll="0"/>
    <pivotField showAll="0"/>
    <pivotField showAll="0"/>
  </pivotFields>
  <rowFields count="1">
    <field x="0"/>
  </rowFields>
  <rowItems count="6">
    <i>
      <x v="104"/>
    </i>
    <i>
      <x v="30"/>
    </i>
    <i>
      <x v="58"/>
    </i>
    <i>
      <x v="41"/>
    </i>
    <i>
      <x v="35"/>
    </i>
    <i t="grand">
      <x/>
    </i>
  </rowItems>
  <colFields count="1">
    <field x="-2"/>
  </colFields>
  <colItems count="2">
    <i>
      <x/>
    </i>
    <i i="1">
      <x v="1"/>
    </i>
  </colItems>
  <pageFields count="1">
    <pageField fld="15" item="0" hier="-1"/>
  </pageFields>
  <dataFields count="2">
    <dataField name="Average of Rating" fld="5" subtotal="average" baseField="0" baseItem="0"/>
    <dataField name="Sum of Review" fld="4"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4A6024-B9B4-4237-8AB4-83FA5B8775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E102:G113" firstHeaderRow="0" firstDataRow="1" firstDataCol="1" rowPageCount="2" colPageCount="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9" showAll="0"/>
    <pivotField dataField="1" showAll="0"/>
    <pivotField showAll="0"/>
    <pivotField showAll="0"/>
    <pivotField showAll="0"/>
    <pivotField axis="axisPage" showAll="0">
      <items count="4">
        <item x="1"/>
        <item x="2"/>
        <item x="0"/>
        <item t="default"/>
      </items>
    </pivotField>
    <pivotField showAll="0"/>
    <pivotField axis="axisPage" showAll="0">
      <items count="4">
        <item x="2"/>
        <item x="1"/>
        <item x="0"/>
        <item t="default"/>
      </items>
    </pivotField>
    <pivotField showAll="0"/>
    <pivotField showAll="0">
      <items count="4">
        <item x="1"/>
        <item x="2"/>
        <item x="0"/>
        <item t="default"/>
      </items>
    </pivotField>
    <pivotField showAll="0"/>
    <pivotField showAll="0"/>
    <pivotField showAll="0"/>
    <pivotField numFmtId="9" showAll="0"/>
    <pivotField showAll="0"/>
    <pivotField showAll="0"/>
    <pivotField showAll="0"/>
    <pivotField showAll="0"/>
  </pivotFields>
  <rowFields count="1">
    <field x="0"/>
  </rowFields>
  <rowItems count="11">
    <i>
      <x v="70"/>
    </i>
    <i>
      <x v="30"/>
    </i>
    <i>
      <x v="84"/>
    </i>
    <i>
      <x v="67"/>
    </i>
    <i>
      <x v="20"/>
    </i>
    <i>
      <x v="52"/>
    </i>
    <i>
      <x v="60"/>
    </i>
    <i>
      <x v="40"/>
    </i>
    <i>
      <x v="104"/>
    </i>
    <i>
      <x v="17"/>
    </i>
    <i t="grand">
      <x/>
    </i>
  </rowItems>
  <colFields count="1">
    <field x="-2"/>
  </colFields>
  <colItems count="2">
    <i>
      <x/>
    </i>
    <i i="1">
      <x v="1"/>
    </i>
  </colItems>
  <pageFields count="2">
    <pageField fld="8" item="0" hier="-1"/>
    <pageField fld="10" item="2" hier="-1"/>
  </pageFields>
  <dataFields count="2">
    <dataField name="Average of Discount" fld="3" subtotal="average" baseField="0" baseItem="5" numFmtId="9"/>
    <dataField name="Sum of Review" fld="4"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51D63F-578C-4834-A31A-85B158EA2011}"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Product">
  <location ref="I34:J45" firstHeaderRow="1"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9"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31"/>
    </i>
    <i>
      <x v="70"/>
    </i>
    <i>
      <x v="30"/>
    </i>
    <i>
      <x v="53"/>
    </i>
    <i>
      <x v="67"/>
    </i>
    <i>
      <x v="84"/>
    </i>
    <i>
      <x v="52"/>
    </i>
    <i>
      <x v="20"/>
    </i>
    <i>
      <x v="60"/>
    </i>
    <i>
      <x v="64"/>
    </i>
    <i t="grand">
      <x/>
    </i>
  </rowItems>
  <colItems count="1">
    <i/>
  </colItems>
  <dataFields count="1">
    <dataField name="Average of Discount" fld="3" subtotal="average" baseField="0" baseItem="0" numFmtId="9"/>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8A1962-8D37-46BC-96A7-D44C6E946E42}"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Product">
  <location ref="E34:F45" firstHeaderRow="1"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dataField="1" showAll="0"/>
    <pivotField showAll="0"/>
    <pivotField showAll="0"/>
    <pivotField showAll="0">
      <items count="5">
        <item x="0"/>
        <item x="1"/>
        <item x="2"/>
        <item x="3"/>
        <item t="default"/>
      </items>
    </pivotField>
    <pivotField showAll="0">
      <items count="4">
        <item x="1"/>
        <item x="2"/>
        <item x="0"/>
        <item t="default"/>
      </items>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3ABC6A-4810-47DD-B0F9-39846478DDC4}"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Rating Category">
  <location ref="A13:B18" firstHeaderRow="1" firstDataRow="1" firstDataCol="1"/>
  <pivotFields count="21">
    <pivotField dataField="1" showAll="0"/>
    <pivotField numFmtId="164" showAll="0"/>
    <pivotField numFmtId="164" showAll="0"/>
    <pivotField numFmtId="9" showAll="0"/>
    <pivotField showAll="0"/>
    <pivotField showAll="0"/>
    <pivotField showAll="0"/>
    <pivotField axis="axisRow" showAll="0">
      <items count="5">
        <item x="0"/>
        <item x="1"/>
        <item x="2"/>
        <item x="3"/>
        <item t="default"/>
      </items>
    </pivotField>
    <pivotField showAll="0">
      <items count="4">
        <item x="1"/>
        <item x="2"/>
        <item x="0"/>
        <item t="default"/>
      </items>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7"/>
  </rowFields>
  <rowItems count="5">
    <i>
      <x/>
    </i>
    <i>
      <x v="1"/>
    </i>
    <i>
      <x v="2"/>
    </i>
    <i>
      <x v="3"/>
    </i>
    <i t="grand">
      <x/>
    </i>
  </rowItems>
  <colItems count="1">
    <i/>
  </colItems>
  <dataFields count="1">
    <dataField name="Count of Product" fld="0"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7" count="1" selected="0">
            <x v="0"/>
          </reference>
        </references>
      </pivotArea>
    </chartFormat>
    <chartFormat chart="5" format="12">
      <pivotArea type="data" outline="0" fieldPosition="0">
        <references count="2">
          <reference field="4294967294" count="1" selected="0">
            <x v="0"/>
          </reference>
          <reference field="7" count="1" selected="0">
            <x v="1"/>
          </reference>
        </references>
      </pivotArea>
    </chartFormat>
    <chartFormat chart="5" format="13">
      <pivotArea type="data" outline="0" fieldPosition="0">
        <references count="2">
          <reference field="4294967294" count="1" selected="0">
            <x v="0"/>
          </reference>
          <reference field="7" count="1" selected="0">
            <x v="2"/>
          </reference>
        </references>
      </pivotArea>
    </chartFormat>
    <chartFormat chart="5"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4A25E2-B8F4-4C7F-8E55-779EE2964835}"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N13:O17" firstHeaderRow="1" firstDataRow="1" firstDataCol="1"/>
  <pivotFields count="21">
    <pivotField showAll="0"/>
    <pivotField numFmtId="164" showAll="0"/>
    <pivotField numFmtId="164" showAll="0"/>
    <pivotField numFmtId="9" showAll="0"/>
    <pivotField dataField="1" showAll="0"/>
    <pivotField showAll="0"/>
    <pivotField showAll="0"/>
    <pivotField showAll="0">
      <items count="5">
        <item x="0"/>
        <item x="1"/>
        <item x="2"/>
        <item x="3"/>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8"/>
  </rowFields>
  <rowItems count="4">
    <i>
      <x v="2"/>
    </i>
    <i>
      <x/>
    </i>
    <i>
      <x v="1"/>
    </i>
    <i t="grand">
      <x/>
    </i>
  </rowItems>
  <colItems count="1">
    <i/>
  </colItems>
  <dataFields count="1">
    <dataField name="Sum of Review"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95F28D-5375-48FE-AD90-976D2AAD7848}"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Price Category">
  <location ref="I13:J17" firstHeaderRow="1" firstDataRow="1" firstDataCol="1"/>
  <pivotFields count="21">
    <pivotField showAll="0"/>
    <pivotField numFmtId="164" showAll="0"/>
    <pivotField numFmtId="164" showAll="0"/>
    <pivotField numFmtId="9" showAll="0"/>
    <pivotField showAll="0"/>
    <pivotField dataField="1" showAll="0"/>
    <pivotField showAll="0"/>
    <pivotField showAll="0">
      <items count="5">
        <item x="0"/>
        <item x="1"/>
        <item x="2"/>
        <item x="3"/>
        <item t="default"/>
      </items>
    </pivotField>
    <pivotField showAll="0">
      <items count="4">
        <item x="1"/>
        <item x="2"/>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9" showAll="0"/>
    <pivotField showAll="0"/>
    <pivotField showAll="0"/>
    <pivotField showAll="0"/>
    <pivotField showAll="0"/>
  </pivotFields>
  <rowFields count="1">
    <field x="9"/>
  </rowFields>
  <rowItems count="4">
    <i>
      <x/>
    </i>
    <i>
      <x v="2"/>
    </i>
    <i>
      <x v="1"/>
    </i>
    <i t="grand">
      <x/>
    </i>
  </rowItems>
  <colItems count="1">
    <i/>
  </colItems>
  <dataFields count="1">
    <dataField name="Average of Rating" fld="5" subtotal="average"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85EA6C1-72F5-490C-8B3E-2E0457C5989E}"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Product">
  <location ref="A34:B45" firstHeaderRow="1"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showAll="0"/>
    <pivotField dataField="1" showAll="0"/>
    <pivotField showAll="0"/>
    <pivotField showAll="0">
      <items count="5">
        <item x="0"/>
        <item x="1"/>
        <item x="2"/>
        <item x="3"/>
        <item t="default"/>
      </items>
    </pivotField>
    <pivotField showAll="0">
      <items count="4">
        <item x="1"/>
        <item x="2"/>
        <item x="0"/>
        <item t="default"/>
      </items>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5"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85BC18-E22E-4CBA-B6DE-D7AE46548E2F}"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Discount category">
  <location ref="E13:F17" firstHeaderRow="1" firstDataRow="1" firstDataCol="1"/>
  <pivotFields count="21">
    <pivotField dataField="1" showAll="0"/>
    <pivotField numFmtId="164" showAll="0"/>
    <pivotField numFmtId="164" showAll="0"/>
    <pivotField numFmtId="9" showAll="0"/>
    <pivotField showAll="0"/>
    <pivotField showAll="0"/>
    <pivotField showAll="0"/>
    <pivotField showAll="0">
      <items count="5">
        <item x="0"/>
        <item x="1"/>
        <item x="2"/>
        <item x="3"/>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8"/>
  </rowFields>
  <rowItems count="4">
    <i>
      <x/>
    </i>
    <i>
      <x v="2"/>
    </i>
    <i>
      <x v="1"/>
    </i>
    <i t="grand">
      <x/>
    </i>
  </rowItems>
  <colItems count="1">
    <i/>
  </colItems>
  <dataFields count="1">
    <dataField name="Count of Product" fld="0" subtotal="count" baseField="0" baseItem="0"/>
  </dataFields>
  <chartFormats count="2">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42FC14-6F4D-4422-8D06-9EB055F42F0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Product">
  <location ref="G9:H20" firstHeaderRow="1"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9" showAll="0"/>
    <pivotField showAll="0"/>
    <pivotField showAll="0"/>
    <pivotField showAll="0"/>
    <pivotField showAll="0">
      <items count="5">
        <item x="0"/>
        <item x="1"/>
        <item x="2"/>
        <item x="3"/>
        <item t="default"/>
      </items>
    </pivotField>
    <pivotField showAll="0">
      <items count="4">
        <item x="1"/>
        <item x="2"/>
        <item x="0"/>
        <item t="default"/>
      </items>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31"/>
    </i>
    <i>
      <x v="70"/>
    </i>
    <i>
      <x v="30"/>
    </i>
    <i>
      <x v="53"/>
    </i>
    <i>
      <x v="67"/>
    </i>
    <i>
      <x v="84"/>
    </i>
    <i>
      <x v="52"/>
    </i>
    <i>
      <x v="20"/>
    </i>
    <i>
      <x v="60"/>
    </i>
    <i>
      <x v="64"/>
    </i>
    <i t="grand">
      <x/>
    </i>
  </rowItems>
  <colItems count="1">
    <i/>
  </colItems>
  <dataFields count="1">
    <dataField name="Average Discount" fld="3" subtotal="average" baseField="0" baseItem="31" numFmtId="9"/>
  </dataFields>
  <formats count="3">
    <format dxfId="30">
      <pivotArea field="0" type="button" dataOnly="0" labelOnly="1" outline="0" axis="axisRow" fieldPosition="0"/>
    </format>
    <format dxfId="29">
      <pivotArea dataOnly="0" labelOnly="1" outline="0" axis="axisValues" fieldPosition="0"/>
    </format>
    <format dxfId="28">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2A15843-7C31-4037-8FF1-ED00ABFC272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Product">
  <location ref="D9:E20" firstHeaderRow="1"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dataField="1" showAll="0"/>
    <pivotField showAll="0"/>
    <pivotField showAll="0"/>
    <pivotField showAll="0">
      <items count="5">
        <item x="0"/>
        <item x="1"/>
        <item x="2"/>
        <item x="3"/>
        <item t="default"/>
      </items>
    </pivotField>
    <pivotField showAll="0">
      <items count="4">
        <item x="1"/>
        <item x="2"/>
        <item x="0"/>
        <item t="default"/>
      </items>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formats count="3">
    <format dxfId="33">
      <pivotArea field="0" type="button" dataOnly="0" labelOnly="1" outline="0" axis="axisRow" fieldPosition="0"/>
    </format>
    <format dxfId="32">
      <pivotArea dataOnly="0" labelOnly="1" outline="0" axis="axisValues" fieldPosition="0"/>
    </format>
    <format dxfId="3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E0FD15-4AC6-48E3-89F2-B47D94BD57C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Product">
  <location ref="A9:B20" firstHeaderRow="1" firstDataRow="1" firstDataCol="1"/>
  <pivotFields count="21">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9" showAll="0"/>
    <pivotField showAll="0"/>
    <pivotField dataField="1" showAll="0"/>
    <pivotField showAll="0"/>
    <pivotField showAll="0">
      <items count="5">
        <item x="0"/>
        <item x="1"/>
        <item x="2"/>
        <item x="3"/>
        <item t="default"/>
      </items>
    </pivotField>
    <pivotField showAll="0">
      <items count="4">
        <item x="1"/>
        <item x="2"/>
        <item x="0"/>
        <item t="default"/>
      </items>
    </pivotField>
    <pivotField showAll="0">
      <items count="4">
        <item x="1"/>
        <item x="2"/>
        <item x="0"/>
        <item t="default"/>
      </items>
    </pivotField>
    <pivotField showAll="0"/>
    <pivotField showAll="0"/>
    <pivotField showAll="0"/>
    <pivotField showAll="0"/>
    <pivotField showAll="0"/>
    <pivotField showAll="0"/>
    <pivotField numFmtId="9" showAll="0"/>
    <pivotField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5" subtotal="average" baseField="0" baseItem="0"/>
  </dataFields>
  <formats count="3">
    <format dxfId="36">
      <pivotArea field="0" type="button" dataOnly="0" labelOnly="1" outline="0" axis="axisRow" fieldPosition="0"/>
    </format>
    <format dxfId="35">
      <pivotArea dataOnly="0" labelOnly="1" outline="0" axis="axisValues" fieldPosition="0"/>
    </format>
    <format dxfId="3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0E7C1C8-FA12-4206-997B-B4272F1EF22B}" autoFormatId="16" applyNumberFormats="0" applyBorderFormats="0" applyFontFormats="0" applyPatternFormats="0" applyAlignmentFormats="0" applyWidthHeightFormats="0">
  <queryTableRefresh nextId="7">
    <queryTableFields count="6">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77D30F4E-93B9-4333-82B3-9C76FF22E2C0}" autoFormatId="16" applyNumberFormats="0" applyBorderFormats="0" applyFontFormats="0" applyPatternFormats="0" applyAlignmentFormats="0" applyWidthHeightFormats="0">
  <queryTableRefresh nextId="23" unboundColumnsRight="15">
    <queryTableFields count="21">
      <queryTableField id="1" name="Product" tableColumnId="1"/>
      <queryTableField id="2" name="Current price" tableColumnId="2"/>
      <queryTableField id="3" name="old price" tableColumnId="3"/>
      <queryTableField id="4" name="Discount" tableColumnId="4"/>
      <queryTableField id="5" name="Review" tableColumnId="5"/>
      <queryTableField id="7" name="Rating" tableColumnId="6"/>
      <queryTableField id="12" dataBound="0" tableColumnId="11"/>
      <queryTableField id="15" dataBound="0" tableColumnId="14"/>
      <queryTableField id="14" dataBound="0" tableColumnId="13"/>
      <queryTableField id="16" dataBound="0" tableColumnId="15"/>
      <queryTableField id="19" dataBound="0" tableColumnId="18"/>
      <queryTableField id="18" dataBound="0" tableColumnId="17"/>
      <queryTableField id="22" dataBound="0" tableColumnId="21"/>
      <queryTableField id="21" dataBound="0" tableColumnId="20"/>
      <queryTableField id="20" dataBound="0" tableColumnId="19"/>
      <queryTableField id="17" dataBound="0" tableColumnId="16"/>
      <queryTableField id="11" dataBound="0" tableColumnId="10"/>
      <queryTableField id="13" dataBound="0" tableColumnId="12"/>
      <queryTableField id="8" dataBound="0" tableColumnId="7"/>
      <queryTableField id="9" dataBound="0" tableColumnId="8"/>
      <queryTableField id="10"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7F8EDBD-09D1-4ED4-988D-7A9435571A3E}" sourceName="Rating Category">
  <pivotTables>
    <pivotTable tabId="6" name="PivotTable18"/>
    <pivotTable tabId="6" name="PivotTable19"/>
    <pivotTable tabId="6" name="PivotTable20"/>
    <pivotTable tabId="6" name="PivotTable21"/>
    <pivotTable tabId="6" name="PivotTable22"/>
    <pivotTable tabId="6" name="PivotTable23"/>
    <pivotTable tabId="6" name="PivotTable24"/>
    <pivotTable tabId="5" name="PivotTable1"/>
    <pivotTable tabId="5" name="PivotTable2"/>
    <pivotTable tabId="5" name="PivotTable3"/>
  </pivotTables>
  <data>
    <tabular pivotCacheId="123812194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A3B0CCF7-E017-4816-B11E-F932A41E7B60}" sourceName="Discount Category">
  <pivotTables>
    <pivotTable tabId="6" name="PivotTable18"/>
    <pivotTable tabId="6" name="PivotTable19"/>
    <pivotTable tabId="6" name="PivotTable20"/>
    <pivotTable tabId="6" name="PivotTable21"/>
    <pivotTable tabId="6" name="PivotTable22"/>
    <pivotTable tabId="6" name="PivotTable23"/>
    <pivotTable tabId="6" name="PivotTable24"/>
    <pivotTable tabId="5" name="PivotTable1"/>
    <pivotTable tabId="5" name="PivotTable2"/>
    <pivotTable tabId="5" name="PivotTable3"/>
  </pivotTables>
  <data>
    <tabular pivotCacheId="123812194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84C76BD2-7955-4B24-A6AD-7247733758C3}" sourceName="Price Category">
  <pivotTables>
    <pivotTable tabId="6" name="PivotTable18"/>
    <pivotTable tabId="6" name="PivotTable19"/>
    <pivotTable tabId="6" name="PivotTable20"/>
    <pivotTable tabId="6" name="PivotTable21"/>
    <pivotTable tabId="6" name="PivotTable22"/>
    <pivotTable tabId="6" name="PivotTable23"/>
    <pivotTable tabId="6" name="PivotTable24"/>
    <pivotTable tabId="5" name="PivotTable1"/>
    <pivotTable tabId="5" name="PivotTable2"/>
    <pivotTable tabId="5" name="PivotTable3"/>
  </pivotTables>
  <data>
    <tabular pivotCacheId="123812194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9425BD07-886F-48D2-A213-01E2D8587C9C}" cache="Slicer_Rating_Category" caption="Rating Category" rowHeight="247650"/>
  <slicer name="Discount Category" xr10:uid="{D578ED6D-A3F6-4964-A5E4-C599DDC7C3AF}" cache="Slicer_Discount_Category" caption="Discount Category" rowHeight="247650"/>
  <slicer name="Price Category" xr10:uid="{C3D59EBA-36FD-4D61-8EF2-B15934824CAB}" cache="Slicer_Price_Category" caption="Price 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182D4300-3641-4765-A654-9E262D8AB5FC}" cache="Slicer_Rating_Category" caption="Rating Category" style="SlicerStyleDark6" rowHeight="247650"/>
  <slicer name="Discount Category 1" xr10:uid="{E00BC717-20B5-4188-945F-F591FDD4D41F}" cache="Slicer_Discount_Category" caption="Discount Category" style="SlicerStyleDark6" rowHeight="247650"/>
  <slicer name="Price Category 1" xr10:uid="{A158DAA5-2B48-49F1-8FED-001EB153443A}" cache="Slicer_Price_Category" caption="Price Category" style="SlicerStyleDark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FE1477-5ED8-4E1E-B8DE-0A075BD20600}" name="Excel_jumia_dataset" displayName="Excel_jumia_dataset" ref="A1:F116" tableType="queryTable" totalsRowShown="0">
  <autoFilter ref="A1:F116" xr:uid="{9BFE1477-5ED8-4E1E-B8DE-0A075BD20600}"/>
  <tableColumns count="6">
    <tableColumn id="1" xr3:uid="{C92AED50-4CC7-4114-81F4-B369DA8A662F}" uniqueName="1" name="Product" queryTableFieldId="1" dataDxfId="27"/>
    <tableColumn id="2" xr3:uid="{E6E1DF88-E776-4C4B-AEFB-BA30C32BA045}" uniqueName="2" name="Current price" queryTableFieldId="2" dataDxfId="26"/>
    <tableColumn id="3" xr3:uid="{C8FAA91A-AECF-44A9-ACF7-5B2E060E3CE1}" uniqueName="3" name="old price" queryTableFieldId="3" dataDxfId="25"/>
    <tableColumn id="4" xr3:uid="{2B25A24B-555E-4D82-B858-789DA3860D08}" uniqueName="4" name="Discount" queryTableFieldId="4"/>
    <tableColumn id="5" xr3:uid="{9209FF5C-0783-478B-92BD-33B657078EE7}" uniqueName="5" name="Review" queryTableFieldId="5"/>
    <tableColumn id="6" xr3:uid="{7AC4F41F-A8FB-4877-95BC-CB44CD862BC2}" uniqueName="6" name="Ratingd" queryTableFieldId="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C3555A-5C0A-418A-9BB7-B2A9F813C0B5}" name="Cleaned_Data" displayName="Cleaned_Data" ref="A1:U113" tableType="queryTable" totalsRowShown="0" headerRowDxfId="23">
  <autoFilter ref="A1:U113" xr:uid="{8EC3555A-5C0A-418A-9BB7-B2A9F813C0B5}"/>
  <tableColumns count="21">
    <tableColumn id="1" xr3:uid="{6C6986E8-2D1A-4C11-A12C-A0C15E93E46A}" uniqueName="1" name="Product" queryTableFieldId="1" dataDxfId="22"/>
    <tableColumn id="2" xr3:uid="{599054EB-6447-4F80-B50D-FDBAB0F869E4}" uniqueName="2" name="Current Price" queryTableFieldId="2" dataDxfId="21"/>
    <tableColumn id="3" xr3:uid="{AF87E252-61B4-4942-948B-2CE0775C7C35}" uniqueName="3" name="Old Price" queryTableFieldId="3" dataDxfId="20"/>
    <tableColumn id="4" xr3:uid="{C63F51CC-BC69-4F55-B697-C9652E5365BF}" uniqueName="4" name="Discount" queryTableFieldId="4" dataCellStyle="Percent"/>
    <tableColumn id="5" xr3:uid="{D713F9F5-E9FA-4D79-BA98-698CE13E668C}" uniqueName="5" name="Review" queryTableFieldId="5"/>
    <tableColumn id="6" xr3:uid="{50BDDC63-BD93-42D6-8B6C-79D8FFEC6C56}" uniqueName="6" name="Rating" queryTableFieldId="7" dataDxfId="19"/>
    <tableColumn id="11" xr3:uid="{BDA2199D-C387-4D0C-B105-E9039D83754B}" uniqueName="11" name="Discount Amount" queryTableFieldId="12" dataDxfId="18">
      <calculatedColumnFormula>Cleaned_Data[[#This Row],[Old Price]]-Cleaned_Data[[#This Row],[Current Price]]</calculatedColumnFormula>
    </tableColumn>
    <tableColumn id="14" xr3:uid="{12F66F08-A88A-4ADE-A0A5-2FB801DAE015}" uniqueName="14" name="Rating Category" queryTableFieldId="15" dataDxfId="17">
      <calculatedColumnFormula>IF(Cleaned_Data[[#This Row],[Rating]]="","Missing",IF(Cleaned_Data[[#This Row],[Rating]]&lt;3,"Poor",IF(Cleaned_Data[[#This Row],[Rating]]&lt;=4.5,"Average","Excellent")))</calculatedColumnFormula>
    </tableColumn>
    <tableColumn id="13" xr3:uid="{B816806B-4FF8-4EDA-B767-BE87C7EC7918}" uniqueName="13" name="Discount Category" queryTableFieldId="14" dataDxfId="16">
      <calculatedColumnFormula>IF(
Cleaned_Data[[#This Row],[Discount]]="",
"Missing",
IF(
Cleaned_Data[[#This Row],[Discount]]&lt;20%,
"Low Discount",
IF(
Cleaned_Data[[#This Row],[Discount]]&lt;=40%,
"Medium Discount",
"High Discount"
)
)
)</calculatedColumnFormula>
    </tableColumn>
    <tableColumn id="15" xr3:uid="{9AAB0571-3B47-4409-BD53-4CBF538FAB2F}" uniqueName="15" name="Price Category" queryTableFieldId="16" dataDxfId="15">
      <calculatedColumnFormula>IF(
Cleaned_Data[[#This Row],[Current Price]]="",
"Missing",
IF(
Cleaned_Data[[#This Row],[Current Price]]&lt;=Analysis!$B$3,
"Low Price",
IF(
Cleaned_Data[[#This Row],[Current Price]]&lt;=Analysis!$B$4,
"Medium Price",
"High Price"
)
)
)</calculatedColumnFormula>
    </tableColumn>
    <tableColumn id="18" xr3:uid="{7DC95214-3B23-404C-A411-274B8DCBB852}" uniqueName="18" name="Engagement" queryTableFieldId="19" dataDxfId="14">
      <calculatedColumnFormula>IF(Cleaned_Data[[#This Row],[Review]]="","Missing",IF(Cleaned_Data[[#This Row],[Review]]&gt;=Engagement_Threshold,"Strong Engagement","Weak Engagement"))</calculatedColumnFormula>
    </tableColumn>
    <tableColumn id="17" xr3:uid="{0283C4BF-2AC0-4F54-8C0E-E35FE6E7867C}" uniqueName="17" name="High discount + low rating" queryTableFieldId="18" dataDxfId="13">
      <calculatedColumnFormula>IF(OR(Cleaned_Data[[#This Row],[Discount]]="",Cleaned_Data[[#This Row],[Rating]]=""),"Missing",IF(AND(Cleaned_Data[[#This Row],[Discount Category]]="High Discount",Cleaned_Data[[#This Row],[Rating Category]]="Poor"),"Flag","OK"))</calculatedColumnFormula>
    </tableColumn>
    <tableColumn id="21" xr3:uid="{511E3EB1-55FF-4215-B677-A8CE9889A74A}" uniqueName="21" name="High discount + low engagement" queryTableFieldId="22" dataDxfId="12">
      <calculatedColumnFormula>IF(OR(Cleaned_Data[[#This Row],[Discount]]="",Cleaned_Data[[#This Row],[Review]]=""),"Missing",IF(AND(Cleaned_Data[[#This Row],[Discount Category]]="High Discount",Cleaned_Data[[#This Row],[Engagement]]="Weak Engagement"),"Flag","OK"))</calculatedColumnFormula>
    </tableColumn>
    <tableColumn id="20" xr3:uid="{E7A61BC6-5359-49AC-B08C-1526FCECC095}" uniqueName="20" name="Many reviews + average rating" queryTableFieldId="21" dataDxfId="11">
      <calculatedColumnFormula>IF(OR(Cleaned_Data[[#This Row],[Review]]="",Cleaned_Data[[#This Row],[Rating]]=""),"Missing",IF(AND(Cleaned_Data[[#This Row],[Engagement]]="Strong Engagement",Cleaned_Data[[#This Row],[Rating Category]]="Average"),"Flag","OK"))</calculatedColumnFormula>
    </tableColumn>
    <tableColumn id="19" xr3:uid="{7A0EE4EA-D0C0-4D1A-80FB-69D5595EF615}" uniqueName="19" name="Strong engagement + excellent rating" queryTableFieldId="20" dataDxfId="10">
      <calculatedColumnFormula>IF(OR(Cleaned_Data[[#This Row],[Review]]="",Cleaned_Data[[#This Row],[Rating]]=""),"Missing",IF(AND(Cleaned_Data[[#This Row],[Engagement]]="Strong Engagement",Cleaned_Data[[#This Row],[Rating Category]]="Excellent"),"Flag","OK"))</calculatedColumnFormula>
    </tableColumn>
    <tableColumn id="16" xr3:uid="{87CABD14-1979-4AB8-B0D7-8226D03D3FFB}" uniqueName="16" name="Rating Status" queryTableFieldId="17" dataDxfId="9">
      <calculatedColumnFormula>IF(Cleaned_Data[[#This Row],[Rating]]="","Missing Rating","Has Rating")</calculatedColumnFormula>
    </tableColumn>
    <tableColumn id="10" xr3:uid="{74EF5582-CF1C-4D86-8810-03E113BED7D0}" uniqueName="10" name="Calculated Discount" queryTableFieldId="11" dataCellStyle="Percent">
      <calculatedColumnFormula>IFERROR(
(Cleaned_Data[[#This Row],[Old Price]]-Cleaned_Data[[#This Row],[Current Price]])/Cleaned_Data[[#This Row],[Old Price]],
""
)</calculatedColumnFormula>
    </tableColumn>
    <tableColumn id="12" xr3:uid="{C0F83C49-3C09-48FF-BBCE-5C9A198C00CD}" uniqueName="12" name="Discount Difference" queryTableFieldId="13" dataDxfId="8" dataCellStyle="Percent">
      <calculatedColumnFormula>IF( Cleaned_Data[[#This Row],[Discount]] -
 Cleaned_Data[[#This Row],[Calculated Discount]]&gt;2%,
"Check",
"OK"
)</calculatedColumnFormula>
    </tableColumn>
    <tableColumn id="7" xr3:uid="{C6DC6BA3-53AA-4A73-8A7A-5F1D2A73F0CF}" uniqueName="7" name="Rating check" queryTableFieldId="8" dataDxfId="7">
      <calculatedColumnFormula>IF(OR(Cleaned_Data[[#This Row],[Rating]]&lt;0,Cleaned_Data[[#This Row],[Rating]]&gt;5),"Check rating","OK")</calculatedColumnFormula>
    </tableColumn>
    <tableColumn id="8" xr3:uid="{C6511163-B7A0-4571-820B-FE922A6D1FCC}" uniqueName="8" name="Discount Check" queryTableFieldId="9" dataDxfId="6">
      <calculatedColumnFormula>IF(OR(Cleaned_Data[[#This Row],[Discount]]&lt;0,Cleaned_Data[[#This Row],[Discount]]&gt;1),"Check discount","OK")</calculatedColumnFormula>
    </tableColumn>
    <tableColumn id="9" xr3:uid="{E87BC760-3925-4878-824F-E6EA374840C6}" uniqueName="9" name="Price check" queryTableFieldId="10" dataDxfId="5">
      <calculatedColumnFormula>IF(Cleaned_Data[[#This Row],[Current Price]]&gt;Cleaned_Data[[#This Row],[Old Price]],"Check prices","OK")</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microsoft.com/office/2007/relationships/slicer" Target="../slicers/slicer2.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A3E6F-8B56-4EEB-A9F8-F45C5A95CADE}">
  <dimension ref="A1:F116"/>
  <sheetViews>
    <sheetView workbookViewId="0">
      <selection activeCell="E2" sqref="E2"/>
    </sheetView>
  </sheetViews>
  <sheetFormatPr defaultRowHeight="15"/>
  <cols>
    <col min="1" max="1" width="80.85546875" bestFit="1" customWidth="1"/>
    <col min="2" max="3" width="18.28515625" bestFit="1" customWidth="1"/>
    <col min="4" max="4" width="10.5703125" bestFit="1" customWidth="1"/>
    <col min="5" max="5" width="9.140625" bestFit="1" customWidth="1"/>
    <col min="6" max="6" width="13" customWidth="1"/>
  </cols>
  <sheetData>
    <row r="1" spans="1:6">
      <c r="A1" t="s">
        <v>0</v>
      </c>
      <c r="B1" t="s">
        <v>1</v>
      </c>
      <c r="C1" t="s">
        <v>2</v>
      </c>
      <c r="D1" t="s">
        <v>3</v>
      </c>
      <c r="E1" t="s">
        <v>4</v>
      </c>
      <c r="F1" t="s">
        <v>5</v>
      </c>
    </row>
    <row r="2" spans="1:6">
      <c r="A2" t="s">
        <v>6</v>
      </c>
      <c r="B2" t="s">
        <v>7</v>
      </c>
      <c r="C2" t="s">
        <v>8</v>
      </c>
      <c r="D2">
        <v>0.38</v>
      </c>
      <c r="E2">
        <v>-2</v>
      </c>
      <c r="F2" t="s">
        <v>9</v>
      </c>
    </row>
    <row r="3" spans="1:6">
      <c r="A3" t="s">
        <v>10</v>
      </c>
      <c r="B3" t="s">
        <v>11</v>
      </c>
      <c r="C3" t="s">
        <v>12</v>
      </c>
      <c r="D3">
        <v>0.47</v>
      </c>
      <c r="E3">
        <v>-14</v>
      </c>
      <c r="F3" t="s">
        <v>13</v>
      </c>
    </row>
    <row r="4" spans="1:6">
      <c r="A4" t="s">
        <v>14</v>
      </c>
      <c r="B4" t="s">
        <v>15</v>
      </c>
      <c r="C4" t="s">
        <v>16</v>
      </c>
      <c r="D4">
        <v>0.25</v>
      </c>
      <c r="E4">
        <v>-24</v>
      </c>
      <c r="F4" t="s">
        <v>17</v>
      </c>
    </row>
    <row r="5" spans="1:6">
      <c r="A5" t="s">
        <v>18</v>
      </c>
      <c r="B5" t="s">
        <v>19</v>
      </c>
      <c r="C5" t="s">
        <v>20</v>
      </c>
      <c r="D5">
        <v>0.37</v>
      </c>
      <c r="E5">
        <v>-7</v>
      </c>
      <c r="F5" t="s">
        <v>21</v>
      </c>
    </row>
    <row r="6" spans="1:6">
      <c r="A6" t="s">
        <v>22</v>
      </c>
      <c r="B6" t="s">
        <v>23</v>
      </c>
      <c r="C6" t="s">
        <v>24</v>
      </c>
      <c r="D6">
        <v>0.26</v>
      </c>
      <c r="E6">
        <v>-5</v>
      </c>
      <c r="F6" t="s">
        <v>25</v>
      </c>
    </row>
    <row r="7" spans="1:6">
      <c r="A7" t="s">
        <v>26</v>
      </c>
      <c r="B7" t="s">
        <v>27</v>
      </c>
      <c r="C7" t="s">
        <v>28</v>
      </c>
      <c r="D7">
        <v>0.09</v>
      </c>
      <c r="E7">
        <v>-15</v>
      </c>
      <c r="F7" t="s">
        <v>29</v>
      </c>
    </row>
    <row r="8" spans="1:6">
      <c r="A8" t="s">
        <v>30</v>
      </c>
      <c r="B8" t="s">
        <v>31</v>
      </c>
      <c r="C8" t="s">
        <v>32</v>
      </c>
      <c r="D8">
        <v>0.24</v>
      </c>
      <c r="E8">
        <v>-55</v>
      </c>
      <c r="F8" t="s">
        <v>17</v>
      </c>
    </row>
    <row r="9" spans="1:6">
      <c r="A9" t="s">
        <v>33</v>
      </c>
      <c r="B9" t="s">
        <v>34</v>
      </c>
      <c r="C9" t="s">
        <v>19</v>
      </c>
      <c r="D9">
        <v>0.37</v>
      </c>
      <c r="E9">
        <v>-2</v>
      </c>
      <c r="F9" t="s">
        <v>29</v>
      </c>
    </row>
    <row r="10" spans="1:6">
      <c r="A10" t="s">
        <v>35</v>
      </c>
      <c r="B10" t="s">
        <v>36</v>
      </c>
      <c r="C10" t="s">
        <v>37</v>
      </c>
      <c r="D10">
        <v>0.55000000000000004</v>
      </c>
      <c r="E10">
        <v>-5</v>
      </c>
      <c r="F10" t="s">
        <v>25</v>
      </c>
    </row>
    <row r="11" spans="1:6">
      <c r="A11" t="s">
        <v>38</v>
      </c>
      <c r="B11" t="s">
        <v>39</v>
      </c>
      <c r="C11" t="s">
        <v>40</v>
      </c>
      <c r="D11">
        <v>0.45</v>
      </c>
      <c r="E11">
        <v>-5</v>
      </c>
      <c r="F11" t="s">
        <v>41</v>
      </c>
    </row>
    <row r="12" spans="1:6">
      <c r="A12" t="s">
        <v>42</v>
      </c>
      <c r="B12" t="s">
        <v>43</v>
      </c>
      <c r="C12" t="s">
        <v>12</v>
      </c>
      <c r="D12">
        <v>0.2</v>
      </c>
      <c r="E12">
        <v>-12</v>
      </c>
      <c r="F12" t="s">
        <v>13</v>
      </c>
    </row>
    <row r="13" spans="1:6">
      <c r="A13" t="s">
        <v>44</v>
      </c>
      <c r="B13" t="s">
        <v>45</v>
      </c>
      <c r="C13" t="s">
        <v>46</v>
      </c>
      <c r="D13">
        <v>0.34</v>
      </c>
      <c r="E13">
        <v>-39</v>
      </c>
      <c r="F13" t="s">
        <v>21</v>
      </c>
    </row>
    <row r="14" spans="1:6">
      <c r="A14" t="s">
        <v>47</v>
      </c>
      <c r="B14" t="s">
        <v>48</v>
      </c>
      <c r="C14" t="s">
        <v>49</v>
      </c>
      <c r="D14">
        <v>0.47</v>
      </c>
      <c r="E14">
        <v>-12</v>
      </c>
      <c r="F14" t="s">
        <v>25</v>
      </c>
    </row>
    <row r="15" spans="1:6">
      <c r="A15" t="s">
        <v>50</v>
      </c>
      <c r="B15" t="s">
        <v>51</v>
      </c>
      <c r="C15" t="s">
        <v>52</v>
      </c>
      <c r="D15">
        <v>0.42</v>
      </c>
      <c r="E15">
        <v>-6</v>
      </c>
      <c r="F15" t="s">
        <v>9</v>
      </c>
    </row>
    <row r="16" spans="1:6">
      <c r="A16" t="s">
        <v>53</v>
      </c>
      <c r="B16" t="s">
        <v>54</v>
      </c>
      <c r="C16" t="s">
        <v>20</v>
      </c>
      <c r="D16">
        <v>0.33</v>
      </c>
      <c r="E16">
        <v>-9</v>
      </c>
      <c r="F16" t="s">
        <v>55</v>
      </c>
    </row>
    <row r="17" spans="1:6">
      <c r="A17" t="s">
        <v>56</v>
      </c>
      <c r="B17" t="s">
        <v>57</v>
      </c>
      <c r="C17" t="s">
        <v>58</v>
      </c>
      <c r="D17">
        <v>0.51</v>
      </c>
      <c r="E17">
        <v>-2</v>
      </c>
      <c r="F17" t="s">
        <v>59</v>
      </c>
    </row>
    <row r="18" spans="1:6">
      <c r="A18" t="s">
        <v>60</v>
      </c>
      <c r="B18" t="s">
        <v>61</v>
      </c>
      <c r="C18" t="s">
        <v>62</v>
      </c>
      <c r="D18">
        <v>0.46</v>
      </c>
      <c r="E18">
        <v>-2</v>
      </c>
      <c r="F18" t="s">
        <v>59</v>
      </c>
    </row>
    <row r="19" spans="1:6">
      <c r="A19" t="s">
        <v>63</v>
      </c>
      <c r="B19" t="s">
        <v>64</v>
      </c>
      <c r="C19" t="s">
        <v>65</v>
      </c>
      <c r="D19">
        <v>0.49</v>
      </c>
      <c r="E19">
        <v>-3</v>
      </c>
      <c r="F19" t="s">
        <v>59</v>
      </c>
    </row>
    <row r="20" spans="1:6">
      <c r="A20" t="s">
        <v>66</v>
      </c>
      <c r="B20" t="s">
        <v>27</v>
      </c>
      <c r="C20" t="s">
        <v>67</v>
      </c>
      <c r="D20">
        <v>0.19</v>
      </c>
      <c r="E20">
        <v>-5</v>
      </c>
      <c r="F20" t="s">
        <v>17</v>
      </c>
    </row>
    <row r="21" spans="1:6">
      <c r="A21" t="s">
        <v>68</v>
      </c>
      <c r="B21" t="s">
        <v>69</v>
      </c>
      <c r="C21" t="s">
        <v>70</v>
      </c>
      <c r="D21">
        <v>0.49</v>
      </c>
      <c r="E21">
        <v>-44</v>
      </c>
      <c r="F21" t="s">
        <v>17</v>
      </c>
    </row>
    <row r="22" spans="1:6">
      <c r="A22" t="s">
        <v>71</v>
      </c>
      <c r="B22" t="s">
        <v>72</v>
      </c>
      <c r="C22" t="s">
        <v>73</v>
      </c>
      <c r="D22">
        <v>0.53</v>
      </c>
      <c r="E22">
        <v>-13</v>
      </c>
      <c r="F22" t="s">
        <v>74</v>
      </c>
    </row>
    <row r="23" spans="1:6">
      <c r="A23" t="s">
        <v>75</v>
      </c>
      <c r="B23" t="s">
        <v>76</v>
      </c>
      <c r="C23" t="s">
        <v>77</v>
      </c>
      <c r="D23">
        <v>0.42</v>
      </c>
      <c r="F23" t="s">
        <v>78</v>
      </c>
    </row>
    <row r="24" spans="1:6">
      <c r="A24" t="s">
        <v>79</v>
      </c>
      <c r="B24" t="s">
        <v>80</v>
      </c>
      <c r="C24" t="s">
        <v>81</v>
      </c>
      <c r="D24">
        <v>0.35</v>
      </c>
      <c r="E24">
        <v>-6</v>
      </c>
      <c r="F24" t="s">
        <v>29</v>
      </c>
    </row>
    <row r="25" spans="1:6">
      <c r="A25" t="s">
        <v>82</v>
      </c>
      <c r="B25" t="s">
        <v>83</v>
      </c>
      <c r="C25" t="s">
        <v>84</v>
      </c>
      <c r="D25">
        <v>0.23</v>
      </c>
      <c r="E25">
        <v>-14</v>
      </c>
      <c r="F25" t="s">
        <v>85</v>
      </c>
    </row>
    <row r="26" spans="1:6">
      <c r="A26" t="s">
        <v>86</v>
      </c>
      <c r="B26" t="s">
        <v>87</v>
      </c>
      <c r="C26" t="s">
        <v>88</v>
      </c>
      <c r="D26">
        <v>0.54</v>
      </c>
      <c r="E26">
        <v>-7</v>
      </c>
      <c r="F26" t="s">
        <v>89</v>
      </c>
    </row>
    <row r="27" spans="1:6">
      <c r="A27" t="s">
        <v>90</v>
      </c>
      <c r="B27" t="s">
        <v>91</v>
      </c>
      <c r="C27" t="s">
        <v>92</v>
      </c>
      <c r="D27">
        <v>0.35</v>
      </c>
      <c r="E27">
        <v>-49</v>
      </c>
      <c r="F27" t="s">
        <v>17</v>
      </c>
    </row>
    <row r="28" spans="1:6">
      <c r="A28" t="s">
        <v>93</v>
      </c>
      <c r="B28" t="s">
        <v>94</v>
      </c>
      <c r="C28" t="s">
        <v>95</v>
      </c>
      <c r="D28">
        <v>0.18</v>
      </c>
      <c r="E28">
        <v>-12</v>
      </c>
      <c r="F28" t="s">
        <v>41</v>
      </c>
    </row>
    <row r="29" spans="1:6">
      <c r="A29" t="s">
        <v>96</v>
      </c>
      <c r="B29" t="s">
        <v>81</v>
      </c>
      <c r="C29" t="s">
        <v>97</v>
      </c>
      <c r="D29">
        <v>0.32</v>
      </c>
      <c r="E29">
        <v>-13</v>
      </c>
      <c r="F29" t="s">
        <v>41</v>
      </c>
    </row>
    <row r="30" spans="1:6">
      <c r="A30" t="s">
        <v>98</v>
      </c>
      <c r="B30" t="s">
        <v>99</v>
      </c>
      <c r="C30" t="s">
        <v>20</v>
      </c>
      <c r="D30">
        <v>0.3</v>
      </c>
      <c r="E30">
        <v>-20</v>
      </c>
      <c r="F30" t="s">
        <v>13</v>
      </c>
    </row>
    <row r="31" spans="1:6">
      <c r="A31" t="s">
        <v>100</v>
      </c>
      <c r="B31" t="s">
        <v>101</v>
      </c>
      <c r="C31" t="s">
        <v>102</v>
      </c>
      <c r="D31">
        <v>0.46</v>
      </c>
      <c r="F31" t="s">
        <v>78</v>
      </c>
    </row>
    <row r="32" spans="1:6">
      <c r="A32" t="s">
        <v>103</v>
      </c>
      <c r="B32" t="s">
        <v>104</v>
      </c>
      <c r="C32" t="s">
        <v>105</v>
      </c>
      <c r="D32">
        <v>0.52</v>
      </c>
      <c r="E32">
        <v>-9</v>
      </c>
      <c r="F32" t="s">
        <v>89</v>
      </c>
    </row>
    <row r="33" spans="1:6">
      <c r="A33" t="s">
        <v>106</v>
      </c>
      <c r="B33" t="s">
        <v>107</v>
      </c>
      <c r="C33" t="s">
        <v>108</v>
      </c>
      <c r="D33">
        <v>0.34</v>
      </c>
      <c r="E33">
        <v>-12</v>
      </c>
      <c r="F33" t="s">
        <v>21</v>
      </c>
    </row>
    <row r="34" spans="1:6">
      <c r="A34" t="s">
        <v>109</v>
      </c>
      <c r="B34" t="s">
        <v>110</v>
      </c>
      <c r="C34" t="s">
        <v>111</v>
      </c>
      <c r="D34">
        <v>0.48</v>
      </c>
      <c r="E34">
        <v>-9</v>
      </c>
      <c r="F34" t="s">
        <v>89</v>
      </c>
    </row>
    <row r="35" spans="1:6">
      <c r="A35" t="s">
        <v>112</v>
      </c>
      <c r="B35" t="s">
        <v>113</v>
      </c>
      <c r="C35" t="s">
        <v>114</v>
      </c>
      <c r="D35">
        <v>0.27</v>
      </c>
      <c r="E35">
        <v>-20</v>
      </c>
      <c r="F35" t="s">
        <v>21</v>
      </c>
    </row>
    <row r="36" spans="1:6">
      <c r="A36" t="s">
        <v>115</v>
      </c>
      <c r="B36" t="s">
        <v>116</v>
      </c>
      <c r="C36" t="s">
        <v>117</v>
      </c>
      <c r="D36">
        <v>0.27</v>
      </c>
      <c r="E36">
        <v>-32</v>
      </c>
      <c r="F36" t="s">
        <v>9</v>
      </c>
    </row>
    <row r="37" spans="1:6">
      <c r="A37" t="s">
        <v>118</v>
      </c>
      <c r="B37" t="s">
        <v>119</v>
      </c>
      <c r="C37" t="s">
        <v>120</v>
      </c>
      <c r="D37">
        <v>0.4</v>
      </c>
      <c r="E37">
        <v>-1</v>
      </c>
      <c r="F37" t="s">
        <v>59</v>
      </c>
    </row>
    <row r="38" spans="1:6">
      <c r="A38" t="s">
        <v>121</v>
      </c>
      <c r="B38" t="s">
        <v>122</v>
      </c>
      <c r="C38" t="s">
        <v>62</v>
      </c>
      <c r="D38">
        <v>0.53</v>
      </c>
      <c r="E38">
        <v>-2</v>
      </c>
      <c r="F38" t="s">
        <v>59</v>
      </c>
    </row>
    <row r="39" spans="1:6">
      <c r="A39" t="s">
        <v>123</v>
      </c>
      <c r="B39" t="s">
        <v>124</v>
      </c>
      <c r="C39" t="s">
        <v>125</v>
      </c>
      <c r="D39">
        <v>0.41</v>
      </c>
      <c r="E39">
        <v>-36</v>
      </c>
      <c r="F39" t="s">
        <v>89</v>
      </c>
    </row>
    <row r="40" spans="1:6">
      <c r="A40" t="s">
        <v>126</v>
      </c>
      <c r="B40" t="s">
        <v>127</v>
      </c>
      <c r="C40" t="s">
        <v>128</v>
      </c>
      <c r="D40">
        <v>0.38</v>
      </c>
      <c r="E40">
        <v>-2</v>
      </c>
      <c r="F40" t="s">
        <v>9</v>
      </c>
    </row>
    <row r="41" spans="1:6">
      <c r="A41" t="s">
        <v>129</v>
      </c>
      <c r="B41" t="s">
        <v>130</v>
      </c>
      <c r="C41" t="s">
        <v>131</v>
      </c>
      <c r="D41">
        <v>0.38</v>
      </c>
      <c r="F41" t="s">
        <v>78</v>
      </c>
    </row>
    <row r="42" spans="1:6">
      <c r="A42" t="s">
        <v>132</v>
      </c>
      <c r="B42" t="s">
        <v>133</v>
      </c>
      <c r="C42" t="s">
        <v>134</v>
      </c>
      <c r="D42">
        <v>0.49</v>
      </c>
      <c r="F42" t="s">
        <v>78</v>
      </c>
    </row>
    <row r="43" spans="1:6">
      <c r="A43" t="s">
        <v>135</v>
      </c>
      <c r="B43" t="s">
        <v>136</v>
      </c>
      <c r="C43" t="s">
        <v>137</v>
      </c>
      <c r="D43">
        <v>0.5</v>
      </c>
      <c r="F43" t="s">
        <v>78</v>
      </c>
    </row>
    <row r="44" spans="1:6">
      <c r="A44" t="s">
        <v>138</v>
      </c>
      <c r="B44" t="s">
        <v>139</v>
      </c>
      <c r="C44" t="s">
        <v>140</v>
      </c>
      <c r="D44">
        <v>0.42</v>
      </c>
      <c r="F44" t="s">
        <v>78</v>
      </c>
    </row>
    <row r="45" spans="1:6">
      <c r="A45" t="s">
        <v>138</v>
      </c>
      <c r="B45" t="s">
        <v>139</v>
      </c>
      <c r="C45" t="s">
        <v>140</v>
      </c>
      <c r="D45">
        <v>0.42</v>
      </c>
      <c r="F45" t="s">
        <v>78</v>
      </c>
    </row>
    <row r="46" spans="1:6">
      <c r="A46" t="s">
        <v>141</v>
      </c>
      <c r="B46" t="s">
        <v>142</v>
      </c>
      <c r="C46" t="s">
        <v>143</v>
      </c>
      <c r="D46">
        <v>0.02</v>
      </c>
      <c r="F46" t="s">
        <v>78</v>
      </c>
    </row>
    <row r="47" spans="1:6">
      <c r="A47" t="s">
        <v>144</v>
      </c>
      <c r="B47" t="s">
        <v>12</v>
      </c>
      <c r="C47" t="s">
        <v>145</v>
      </c>
      <c r="D47">
        <v>0.5</v>
      </c>
      <c r="F47" t="s">
        <v>78</v>
      </c>
    </row>
    <row r="48" spans="1:6">
      <c r="A48" t="s">
        <v>146</v>
      </c>
      <c r="B48" t="s">
        <v>147</v>
      </c>
      <c r="C48" t="s">
        <v>148</v>
      </c>
      <c r="D48">
        <v>0.33</v>
      </c>
      <c r="F48" t="s">
        <v>78</v>
      </c>
    </row>
    <row r="49" spans="1:6">
      <c r="A49" t="s">
        <v>149</v>
      </c>
      <c r="B49" t="s">
        <v>150</v>
      </c>
      <c r="C49" t="s">
        <v>151</v>
      </c>
      <c r="D49">
        <v>0.49</v>
      </c>
      <c r="F49" t="s">
        <v>78</v>
      </c>
    </row>
    <row r="50" spans="1:6">
      <c r="A50" t="s">
        <v>152</v>
      </c>
      <c r="B50" t="s">
        <v>153</v>
      </c>
      <c r="C50" t="s">
        <v>154</v>
      </c>
      <c r="D50">
        <v>0.38</v>
      </c>
      <c r="F50" t="s">
        <v>78</v>
      </c>
    </row>
    <row r="51" spans="1:6">
      <c r="A51" t="s">
        <v>155</v>
      </c>
      <c r="B51" t="s">
        <v>156</v>
      </c>
      <c r="C51" t="s">
        <v>157</v>
      </c>
      <c r="D51">
        <v>0.61</v>
      </c>
      <c r="F51" t="s">
        <v>78</v>
      </c>
    </row>
    <row r="52" spans="1:6">
      <c r="A52" t="s">
        <v>158</v>
      </c>
      <c r="B52" t="s">
        <v>159</v>
      </c>
      <c r="C52" t="s">
        <v>160</v>
      </c>
      <c r="D52">
        <v>0.5</v>
      </c>
      <c r="F52" t="s">
        <v>78</v>
      </c>
    </row>
    <row r="53" spans="1:6">
      <c r="A53" t="s">
        <v>161</v>
      </c>
      <c r="B53" t="s">
        <v>162</v>
      </c>
      <c r="C53" t="s">
        <v>163</v>
      </c>
      <c r="D53">
        <v>0.02</v>
      </c>
      <c r="F53" t="s">
        <v>78</v>
      </c>
    </row>
    <row r="54" spans="1:6">
      <c r="A54" t="s">
        <v>164</v>
      </c>
      <c r="B54" t="s">
        <v>159</v>
      </c>
      <c r="C54" t="s">
        <v>165</v>
      </c>
      <c r="D54">
        <v>0.22</v>
      </c>
      <c r="F54" t="s">
        <v>78</v>
      </c>
    </row>
    <row r="55" spans="1:6">
      <c r="A55" t="s">
        <v>166</v>
      </c>
      <c r="B55" t="s">
        <v>167</v>
      </c>
      <c r="C55" t="s">
        <v>168</v>
      </c>
      <c r="D55">
        <v>0.03</v>
      </c>
      <c r="F55" t="s">
        <v>78</v>
      </c>
    </row>
    <row r="56" spans="1:6">
      <c r="A56" t="s">
        <v>169</v>
      </c>
      <c r="B56" t="s">
        <v>43</v>
      </c>
      <c r="C56" t="s">
        <v>170</v>
      </c>
      <c r="D56">
        <v>0.41</v>
      </c>
      <c r="F56" t="s">
        <v>78</v>
      </c>
    </row>
    <row r="57" spans="1:6">
      <c r="A57" t="s">
        <v>171</v>
      </c>
      <c r="B57" t="s">
        <v>172</v>
      </c>
      <c r="C57" t="s">
        <v>173</v>
      </c>
      <c r="D57">
        <v>0.45</v>
      </c>
      <c r="F57" t="s">
        <v>78</v>
      </c>
    </row>
    <row r="58" spans="1:6">
      <c r="A58" t="s">
        <v>174</v>
      </c>
      <c r="B58" t="s">
        <v>175</v>
      </c>
      <c r="C58" t="s">
        <v>170</v>
      </c>
      <c r="D58">
        <v>0.48</v>
      </c>
      <c r="F58" t="s">
        <v>78</v>
      </c>
    </row>
    <row r="59" spans="1:6">
      <c r="A59" t="s">
        <v>176</v>
      </c>
      <c r="B59" t="s">
        <v>43</v>
      </c>
      <c r="C59" t="s">
        <v>177</v>
      </c>
      <c r="D59">
        <v>0.49</v>
      </c>
      <c r="F59" t="s">
        <v>78</v>
      </c>
    </row>
    <row r="60" spans="1:6">
      <c r="A60" t="s">
        <v>178</v>
      </c>
      <c r="B60" t="s">
        <v>179</v>
      </c>
      <c r="C60" t="s">
        <v>180</v>
      </c>
      <c r="D60">
        <v>0.27</v>
      </c>
      <c r="F60" t="s">
        <v>78</v>
      </c>
    </row>
    <row r="61" spans="1:6">
      <c r="A61" t="s">
        <v>171</v>
      </c>
      <c r="B61" t="s">
        <v>181</v>
      </c>
      <c r="C61" t="s">
        <v>182</v>
      </c>
      <c r="D61">
        <v>0.55000000000000004</v>
      </c>
      <c r="F61" t="s">
        <v>78</v>
      </c>
    </row>
    <row r="62" spans="1:6">
      <c r="A62" t="s">
        <v>183</v>
      </c>
      <c r="B62" t="s">
        <v>184</v>
      </c>
      <c r="C62" t="s">
        <v>185</v>
      </c>
      <c r="D62">
        <v>0.13</v>
      </c>
      <c r="E62">
        <v>-6</v>
      </c>
      <c r="F62" t="s">
        <v>186</v>
      </c>
    </row>
    <row r="63" spans="1:6">
      <c r="A63" t="s">
        <v>187</v>
      </c>
      <c r="B63" t="s">
        <v>188</v>
      </c>
      <c r="C63" t="s">
        <v>189</v>
      </c>
      <c r="D63">
        <v>0.54</v>
      </c>
      <c r="E63">
        <v>-10</v>
      </c>
      <c r="F63" t="s">
        <v>190</v>
      </c>
    </row>
    <row r="64" spans="1:6">
      <c r="A64" t="s">
        <v>191</v>
      </c>
      <c r="B64" t="s">
        <v>192</v>
      </c>
      <c r="C64" t="s">
        <v>193</v>
      </c>
      <c r="D64">
        <v>0.55000000000000004</v>
      </c>
      <c r="E64">
        <v>-13</v>
      </c>
      <c r="F64" t="s">
        <v>194</v>
      </c>
    </row>
    <row r="65" spans="1:6">
      <c r="A65" t="s">
        <v>195</v>
      </c>
      <c r="B65" t="s">
        <v>196</v>
      </c>
      <c r="C65" t="s">
        <v>197</v>
      </c>
      <c r="D65">
        <v>0.49</v>
      </c>
      <c r="E65">
        <v>-69</v>
      </c>
      <c r="F65" t="s">
        <v>198</v>
      </c>
    </row>
    <row r="66" spans="1:6">
      <c r="A66" t="s">
        <v>199</v>
      </c>
      <c r="B66" t="s">
        <v>200</v>
      </c>
      <c r="C66" t="s">
        <v>201</v>
      </c>
      <c r="D66">
        <v>0.52</v>
      </c>
      <c r="E66">
        <v>-15</v>
      </c>
      <c r="F66" t="s">
        <v>202</v>
      </c>
    </row>
    <row r="67" spans="1:6">
      <c r="A67" t="s">
        <v>203</v>
      </c>
      <c r="B67" t="s">
        <v>204</v>
      </c>
      <c r="C67" t="s">
        <v>205</v>
      </c>
      <c r="D67">
        <v>0.22</v>
      </c>
      <c r="E67">
        <v>-16</v>
      </c>
      <c r="F67" t="s">
        <v>206</v>
      </c>
    </row>
    <row r="68" spans="1:6">
      <c r="A68" t="s">
        <v>207</v>
      </c>
      <c r="B68" t="s">
        <v>45</v>
      </c>
      <c r="C68" t="s">
        <v>208</v>
      </c>
      <c r="D68">
        <v>0.45</v>
      </c>
      <c r="E68">
        <v>-6</v>
      </c>
      <c r="F68" t="s">
        <v>209</v>
      </c>
    </row>
    <row r="69" spans="1:6">
      <c r="A69" t="s">
        <v>210</v>
      </c>
      <c r="B69" t="s">
        <v>211</v>
      </c>
      <c r="C69" t="s">
        <v>145</v>
      </c>
      <c r="D69">
        <v>0.5</v>
      </c>
      <c r="E69">
        <v>-7</v>
      </c>
      <c r="F69" t="s">
        <v>212</v>
      </c>
    </row>
    <row r="70" spans="1:6">
      <c r="A70" t="s">
        <v>213</v>
      </c>
      <c r="B70" t="s">
        <v>214</v>
      </c>
      <c r="C70" t="s">
        <v>215</v>
      </c>
      <c r="D70">
        <v>0.39</v>
      </c>
      <c r="E70">
        <v>-5</v>
      </c>
      <c r="F70" t="s">
        <v>190</v>
      </c>
    </row>
    <row r="71" spans="1:6">
      <c r="A71" t="s">
        <v>216</v>
      </c>
      <c r="B71" t="s">
        <v>105</v>
      </c>
      <c r="C71" t="s">
        <v>217</v>
      </c>
      <c r="D71">
        <v>0.45</v>
      </c>
      <c r="E71">
        <v>-17</v>
      </c>
      <c r="F71" t="s">
        <v>218</v>
      </c>
    </row>
    <row r="72" spans="1:6">
      <c r="A72" t="s">
        <v>219</v>
      </c>
      <c r="B72" t="s">
        <v>220</v>
      </c>
      <c r="C72" t="s">
        <v>221</v>
      </c>
      <c r="D72">
        <v>0.28999999999999998</v>
      </c>
      <c r="E72">
        <v>-5</v>
      </c>
      <c r="F72" t="s">
        <v>190</v>
      </c>
    </row>
    <row r="73" spans="1:6">
      <c r="A73" t="s">
        <v>222</v>
      </c>
      <c r="B73" t="s">
        <v>223</v>
      </c>
      <c r="C73" t="s">
        <v>224</v>
      </c>
      <c r="D73">
        <v>0.43</v>
      </c>
      <c r="E73">
        <v>-6</v>
      </c>
      <c r="F73" t="s">
        <v>212</v>
      </c>
    </row>
    <row r="74" spans="1:6">
      <c r="A74" t="s">
        <v>225</v>
      </c>
      <c r="B74" t="s">
        <v>226</v>
      </c>
      <c r="C74" t="s">
        <v>227</v>
      </c>
      <c r="D74">
        <v>0.43</v>
      </c>
      <c r="E74">
        <v>-5</v>
      </c>
      <c r="F74" t="s">
        <v>190</v>
      </c>
    </row>
    <row r="75" spans="1:6">
      <c r="A75" t="s">
        <v>228</v>
      </c>
      <c r="B75" t="s">
        <v>229</v>
      </c>
      <c r="C75" t="s">
        <v>208</v>
      </c>
      <c r="D75">
        <v>0.47</v>
      </c>
      <c r="E75">
        <v>-6</v>
      </c>
      <c r="F75" t="s">
        <v>209</v>
      </c>
    </row>
    <row r="76" spans="1:6">
      <c r="A76" t="s">
        <v>230</v>
      </c>
      <c r="B76" t="s">
        <v>231</v>
      </c>
      <c r="C76" t="s">
        <v>232</v>
      </c>
      <c r="D76">
        <v>0.47</v>
      </c>
      <c r="E76">
        <v>-7</v>
      </c>
      <c r="F76" t="s">
        <v>194</v>
      </c>
    </row>
    <row r="77" spans="1:6">
      <c r="A77" t="s">
        <v>233</v>
      </c>
      <c r="B77" t="s">
        <v>234</v>
      </c>
      <c r="C77" t="s">
        <v>235</v>
      </c>
      <c r="D77">
        <v>0.47</v>
      </c>
      <c r="F77" t="s">
        <v>78</v>
      </c>
    </row>
    <row r="78" spans="1:6">
      <c r="A78" t="s">
        <v>236</v>
      </c>
      <c r="B78" t="s">
        <v>237</v>
      </c>
      <c r="C78" t="s">
        <v>153</v>
      </c>
      <c r="D78">
        <v>0.43</v>
      </c>
      <c r="F78" t="s">
        <v>78</v>
      </c>
    </row>
    <row r="79" spans="1:6">
      <c r="A79" t="s">
        <v>238</v>
      </c>
      <c r="B79" t="s">
        <v>239</v>
      </c>
      <c r="C79" t="s">
        <v>240</v>
      </c>
      <c r="D79">
        <v>0.04</v>
      </c>
      <c r="F79" t="s">
        <v>78</v>
      </c>
    </row>
    <row r="80" spans="1:6">
      <c r="A80" t="s">
        <v>241</v>
      </c>
      <c r="B80" t="s">
        <v>242</v>
      </c>
      <c r="C80" t="s">
        <v>243</v>
      </c>
      <c r="D80">
        <v>0.49</v>
      </c>
      <c r="F80" t="s">
        <v>78</v>
      </c>
    </row>
    <row r="81" spans="1:6">
      <c r="A81" t="s">
        <v>244</v>
      </c>
      <c r="B81" t="s">
        <v>245</v>
      </c>
      <c r="C81" t="s">
        <v>15</v>
      </c>
      <c r="D81">
        <v>0.46</v>
      </c>
      <c r="E81">
        <v>-1</v>
      </c>
      <c r="F81" t="s">
        <v>190</v>
      </c>
    </row>
    <row r="82" spans="1:6">
      <c r="A82" t="s">
        <v>246</v>
      </c>
      <c r="B82" t="s">
        <v>247</v>
      </c>
      <c r="C82" t="s">
        <v>248</v>
      </c>
      <c r="D82">
        <v>0.49</v>
      </c>
      <c r="E82">
        <v>-1</v>
      </c>
      <c r="F82" t="s">
        <v>59</v>
      </c>
    </row>
    <row r="83" spans="1:6">
      <c r="A83" t="s">
        <v>249</v>
      </c>
      <c r="B83" t="s">
        <v>250</v>
      </c>
      <c r="C83" t="s">
        <v>251</v>
      </c>
      <c r="D83">
        <v>0.36</v>
      </c>
      <c r="F83" t="s">
        <v>78</v>
      </c>
    </row>
    <row r="84" spans="1:6">
      <c r="A84" t="s">
        <v>252</v>
      </c>
      <c r="B84" t="s">
        <v>253</v>
      </c>
      <c r="C84" t="s">
        <v>163</v>
      </c>
      <c r="D84">
        <v>0.02</v>
      </c>
      <c r="F84" t="s">
        <v>78</v>
      </c>
    </row>
    <row r="85" spans="1:6">
      <c r="A85" t="s">
        <v>254</v>
      </c>
      <c r="B85" t="s">
        <v>255</v>
      </c>
      <c r="C85" t="s">
        <v>92</v>
      </c>
      <c r="D85">
        <v>0.49</v>
      </c>
      <c r="E85">
        <v>-1</v>
      </c>
      <c r="F85" t="s">
        <v>29</v>
      </c>
    </row>
    <row r="86" spans="1:6">
      <c r="A86" t="s">
        <v>138</v>
      </c>
      <c r="B86" t="s">
        <v>139</v>
      </c>
      <c r="C86" t="s">
        <v>140</v>
      </c>
      <c r="D86">
        <v>0.42</v>
      </c>
      <c r="F86" t="s">
        <v>78</v>
      </c>
    </row>
    <row r="87" spans="1:6">
      <c r="A87" t="s">
        <v>155</v>
      </c>
      <c r="B87" t="s">
        <v>256</v>
      </c>
      <c r="C87" t="s">
        <v>223</v>
      </c>
      <c r="D87">
        <v>0.49</v>
      </c>
      <c r="F87" t="s">
        <v>78</v>
      </c>
    </row>
    <row r="88" spans="1:6">
      <c r="A88" t="s">
        <v>257</v>
      </c>
      <c r="B88" t="s">
        <v>258</v>
      </c>
      <c r="C88" t="s">
        <v>163</v>
      </c>
      <c r="D88">
        <v>0.14000000000000001</v>
      </c>
      <c r="F88" t="s">
        <v>78</v>
      </c>
    </row>
    <row r="89" spans="1:6">
      <c r="A89" t="s">
        <v>259</v>
      </c>
      <c r="B89" t="s">
        <v>260</v>
      </c>
      <c r="C89" t="s">
        <v>261</v>
      </c>
      <c r="D89">
        <v>0.49</v>
      </c>
      <c r="F89" t="s">
        <v>78</v>
      </c>
    </row>
    <row r="90" spans="1:6">
      <c r="A90" t="s">
        <v>262</v>
      </c>
      <c r="B90" t="s">
        <v>43</v>
      </c>
      <c r="C90" t="s">
        <v>173</v>
      </c>
      <c r="D90">
        <v>0.11</v>
      </c>
      <c r="F90" t="s">
        <v>78</v>
      </c>
    </row>
    <row r="91" spans="1:6">
      <c r="A91" t="s">
        <v>176</v>
      </c>
      <c r="B91" t="s">
        <v>263</v>
      </c>
      <c r="C91" t="s">
        <v>264</v>
      </c>
      <c r="D91">
        <v>0.49</v>
      </c>
      <c r="F91" t="s">
        <v>78</v>
      </c>
    </row>
    <row r="92" spans="1:6">
      <c r="A92" t="s">
        <v>265</v>
      </c>
      <c r="B92" t="s">
        <v>266</v>
      </c>
      <c r="C92" t="s">
        <v>163</v>
      </c>
      <c r="D92">
        <v>0.14000000000000001</v>
      </c>
      <c r="F92" t="s">
        <v>78</v>
      </c>
    </row>
    <row r="93" spans="1:6">
      <c r="A93" t="s">
        <v>267</v>
      </c>
      <c r="B93" t="s">
        <v>268</v>
      </c>
      <c r="C93" t="s">
        <v>269</v>
      </c>
      <c r="D93">
        <v>0.43</v>
      </c>
      <c r="F93" t="s">
        <v>78</v>
      </c>
    </row>
    <row r="94" spans="1:6">
      <c r="A94" t="s">
        <v>270</v>
      </c>
      <c r="B94" t="s">
        <v>271</v>
      </c>
      <c r="C94" t="s">
        <v>272</v>
      </c>
      <c r="D94">
        <v>0.5</v>
      </c>
      <c r="F94" t="s">
        <v>78</v>
      </c>
    </row>
    <row r="95" spans="1:6">
      <c r="A95" t="s">
        <v>273</v>
      </c>
      <c r="B95" t="s">
        <v>274</v>
      </c>
      <c r="C95" t="s">
        <v>185</v>
      </c>
      <c r="D95">
        <v>0.48</v>
      </c>
      <c r="F95" t="s">
        <v>78</v>
      </c>
    </row>
    <row r="96" spans="1:6">
      <c r="A96" t="s">
        <v>275</v>
      </c>
      <c r="B96" t="s">
        <v>276</v>
      </c>
      <c r="C96" t="s">
        <v>277</v>
      </c>
      <c r="D96">
        <v>0.48</v>
      </c>
      <c r="F96" t="s">
        <v>78</v>
      </c>
    </row>
    <row r="97" spans="1:6">
      <c r="A97" t="s">
        <v>278</v>
      </c>
      <c r="B97" t="s">
        <v>227</v>
      </c>
      <c r="C97" t="s">
        <v>163</v>
      </c>
      <c r="D97">
        <v>0.47</v>
      </c>
      <c r="F97" t="s">
        <v>78</v>
      </c>
    </row>
    <row r="98" spans="1:6">
      <c r="A98" t="s">
        <v>278</v>
      </c>
      <c r="B98" t="s">
        <v>227</v>
      </c>
      <c r="C98" t="s">
        <v>163</v>
      </c>
      <c r="D98">
        <v>0.47</v>
      </c>
      <c r="F98" t="s">
        <v>78</v>
      </c>
    </row>
    <row r="99" spans="1:6">
      <c r="A99" t="s">
        <v>279</v>
      </c>
      <c r="B99" t="s">
        <v>153</v>
      </c>
      <c r="C99" t="s">
        <v>280</v>
      </c>
      <c r="D99">
        <v>0.5</v>
      </c>
      <c r="F99" t="s">
        <v>78</v>
      </c>
    </row>
    <row r="100" spans="1:6">
      <c r="A100" t="s">
        <v>281</v>
      </c>
      <c r="B100" t="s">
        <v>282</v>
      </c>
      <c r="C100" t="s">
        <v>162</v>
      </c>
      <c r="D100">
        <v>0.08</v>
      </c>
      <c r="F100" t="s">
        <v>78</v>
      </c>
    </row>
    <row r="101" spans="1:6">
      <c r="A101" t="s">
        <v>283</v>
      </c>
      <c r="B101" t="s">
        <v>284</v>
      </c>
      <c r="C101" t="s">
        <v>168</v>
      </c>
      <c r="D101">
        <v>0.02</v>
      </c>
      <c r="F101" t="s">
        <v>78</v>
      </c>
    </row>
    <row r="102" spans="1:6">
      <c r="A102" t="s">
        <v>285</v>
      </c>
      <c r="B102" t="s">
        <v>286</v>
      </c>
      <c r="C102" t="s">
        <v>287</v>
      </c>
      <c r="D102">
        <v>0.49</v>
      </c>
      <c r="F102" t="s">
        <v>78</v>
      </c>
    </row>
    <row r="103" spans="1:6">
      <c r="A103" t="s">
        <v>288</v>
      </c>
      <c r="B103" t="s">
        <v>289</v>
      </c>
      <c r="C103" t="s">
        <v>67</v>
      </c>
      <c r="D103">
        <v>0.04</v>
      </c>
      <c r="F103" t="s">
        <v>78</v>
      </c>
    </row>
    <row r="104" spans="1:6">
      <c r="A104" t="s">
        <v>290</v>
      </c>
      <c r="B104" t="s">
        <v>291</v>
      </c>
      <c r="C104" t="s">
        <v>292</v>
      </c>
      <c r="D104">
        <v>0.49</v>
      </c>
      <c r="F104" t="s">
        <v>78</v>
      </c>
    </row>
    <row r="105" spans="1:6">
      <c r="A105" t="s">
        <v>293</v>
      </c>
      <c r="B105" t="s">
        <v>294</v>
      </c>
      <c r="C105" t="s">
        <v>295</v>
      </c>
      <c r="D105">
        <v>0.42</v>
      </c>
      <c r="F105" t="s">
        <v>78</v>
      </c>
    </row>
    <row r="106" spans="1:6">
      <c r="A106" t="s">
        <v>296</v>
      </c>
      <c r="B106" t="s">
        <v>297</v>
      </c>
      <c r="C106" t="s">
        <v>298</v>
      </c>
      <c r="D106">
        <v>0.21</v>
      </c>
      <c r="E106">
        <v>-1</v>
      </c>
      <c r="F106" t="s">
        <v>59</v>
      </c>
    </row>
    <row r="107" spans="1:6">
      <c r="A107" t="s">
        <v>299</v>
      </c>
      <c r="B107" t="s">
        <v>300</v>
      </c>
      <c r="C107" t="s">
        <v>301</v>
      </c>
      <c r="D107">
        <v>0.41</v>
      </c>
      <c r="F107" t="s">
        <v>78</v>
      </c>
    </row>
    <row r="108" spans="1:6">
      <c r="A108" t="s">
        <v>302</v>
      </c>
      <c r="B108" t="s">
        <v>303</v>
      </c>
      <c r="C108" t="s">
        <v>304</v>
      </c>
      <c r="D108">
        <v>0.01</v>
      </c>
      <c r="F108" t="s">
        <v>78</v>
      </c>
    </row>
    <row r="109" spans="1:6">
      <c r="A109" t="s">
        <v>305</v>
      </c>
      <c r="B109" t="s">
        <v>306</v>
      </c>
      <c r="C109" t="s">
        <v>307</v>
      </c>
      <c r="D109">
        <v>0.24</v>
      </c>
      <c r="F109" t="s">
        <v>78</v>
      </c>
    </row>
    <row r="110" spans="1:6">
      <c r="A110" t="s">
        <v>308</v>
      </c>
      <c r="B110" t="s">
        <v>309</v>
      </c>
      <c r="C110" t="s">
        <v>310</v>
      </c>
      <c r="D110">
        <v>0.34</v>
      </c>
      <c r="F110" t="s">
        <v>78</v>
      </c>
    </row>
    <row r="111" spans="1:6">
      <c r="A111" t="s">
        <v>311</v>
      </c>
      <c r="B111" t="s">
        <v>147</v>
      </c>
      <c r="C111" t="s">
        <v>312</v>
      </c>
      <c r="D111">
        <v>0.34</v>
      </c>
      <c r="F111" t="s">
        <v>78</v>
      </c>
    </row>
    <row r="112" spans="1:6">
      <c r="A112" t="s">
        <v>313</v>
      </c>
      <c r="B112" t="s">
        <v>314</v>
      </c>
      <c r="C112" t="s">
        <v>163</v>
      </c>
      <c r="D112">
        <v>0.02</v>
      </c>
      <c r="F112" t="s">
        <v>78</v>
      </c>
    </row>
    <row r="113" spans="1:6">
      <c r="A113" t="s">
        <v>315</v>
      </c>
      <c r="B113" t="s">
        <v>316</v>
      </c>
      <c r="C113" t="s">
        <v>240</v>
      </c>
      <c r="D113">
        <v>0.02</v>
      </c>
      <c r="F113" t="s">
        <v>78</v>
      </c>
    </row>
    <row r="114" spans="1:6">
      <c r="A114" t="s">
        <v>317</v>
      </c>
      <c r="B114" t="s">
        <v>156</v>
      </c>
      <c r="C114" t="s">
        <v>318</v>
      </c>
      <c r="D114">
        <v>0.64</v>
      </c>
      <c r="F114" t="s">
        <v>78</v>
      </c>
    </row>
    <row r="115" spans="1:6">
      <c r="A115" t="s">
        <v>319</v>
      </c>
      <c r="B115" t="s">
        <v>243</v>
      </c>
      <c r="C115" t="s">
        <v>173</v>
      </c>
      <c r="D115">
        <v>0.5</v>
      </c>
      <c r="E115">
        <v>-1</v>
      </c>
      <c r="F115" t="s">
        <v>320</v>
      </c>
    </row>
    <row r="116" spans="1:6">
      <c r="A116" t="s">
        <v>321</v>
      </c>
      <c r="B116" t="s">
        <v>322</v>
      </c>
      <c r="C116" t="s">
        <v>323</v>
      </c>
      <c r="D116">
        <v>0.47</v>
      </c>
      <c r="F116"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4E747-740C-4858-97A5-39647C97EAF3}">
  <dimension ref="A1:U113"/>
  <sheetViews>
    <sheetView workbookViewId="0">
      <pane ySplit="1" topLeftCell="A2" activePane="bottomLeft" state="frozen"/>
      <selection activeCell="G1" sqref="G1"/>
      <selection pane="bottomLeft" activeCell="A2" sqref="A2"/>
    </sheetView>
  </sheetViews>
  <sheetFormatPr defaultRowHeight="15"/>
  <cols>
    <col min="1" max="1" width="80.85546875" bestFit="1" customWidth="1"/>
    <col min="2" max="2" width="14.140625" style="8" bestFit="1" customWidth="1"/>
    <col min="3" max="3" width="11.28515625" style="8" bestFit="1" customWidth="1"/>
    <col min="4" max="4" width="10.5703125" style="7" bestFit="1" customWidth="1"/>
    <col min="5" max="5" width="9.140625" bestFit="1" customWidth="1"/>
    <col min="6" max="6" width="8.42578125" bestFit="1" customWidth="1"/>
    <col min="7" max="7" width="8.42578125" customWidth="1"/>
    <col min="8" max="8" width="11.28515625" style="15" customWidth="1"/>
    <col min="9" max="10" width="14.7109375" style="15" customWidth="1"/>
    <col min="11" max="11" width="18.140625" style="15" customWidth="1"/>
    <col min="12" max="16" width="14.7109375" style="15" customWidth="1"/>
    <col min="17" max="17" width="9.7109375" style="7" bestFit="1" customWidth="1"/>
    <col min="18" max="18" width="9.7109375" style="7" customWidth="1"/>
  </cols>
  <sheetData>
    <row r="1" spans="1:21" s="11" customFormat="1" ht="45">
      <c r="A1" s="11" t="s">
        <v>0</v>
      </c>
      <c r="B1" s="12" t="s">
        <v>368</v>
      </c>
      <c r="C1" s="12" t="s">
        <v>369</v>
      </c>
      <c r="D1" s="13" t="s">
        <v>3</v>
      </c>
      <c r="E1" s="11" t="s">
        <v>4</v>
      </c>
      <c r="F1" s="11" t="s">
        <v>370</v>
      </c>
      <c r="G1" s="11" t="s">
        <v>379</v>
      </c>
      <c r="H1" s="14" t="s">
        <v>383</v>
      </c>
      <c r="I1" s="14" t="s">
        <v>385</v>
      </c>
      <c r="J1" s="14" t="s">
        <v>386</v>
      </c>
      <c r="K1" s="14" t="s">
        <v>390</v>
      </c>
      <c r="L1" s="11" t="s">
        <v>391</v>
      </c>
      <c r="M1" s="11" t="s">
        <v>392</v>
      </c>
      <c r="N1" s="11" t="s">
        <v>393</v>
      </c>
      <c r="O1" s="11" t="s">
        <v>394</v>
      </c>
      <c r="P1" s="14" t="s">
        <v>450</v>
      </c>
      <c r="Q1" s="13" t="s">
        <v>380</v>
      </c>
      <c r="R1" s="13" t="s">
        <v>381</v>
      </c>
      <c r="S1" s="11" t="s">
        <v>374</v>
      </c>
      <c r="T1" s="11" t="s">
        <v>375</v>
      </c>
      <c r="U1" s="11" t="s">
        <v>376</v>
      </c>
    </row>
    <row r="2" spans="1:21">
      <c r="A2" t="s">
        <v>6</v>
      </c>
      <c r="B2" s="8">
        <v>950</v>
      </c>
      <c r="C2" s="8">
        <v>1525</v>
      </c>
      <c r="D2" s="7">
        <v>0.38</v>
      </c>
      <c r="E2">
        <v>2</v>
      </c>
      <c r="F2">
        <v>4.5</v>
      </c>
      <c r="G2">
        <f>Cleaned_Data[[#This Row],[Old Price]]-Cleaned_Data[[#This Row],[Current Price]]</f>
        <v>575</v>
      </c>
      <c r="H2" s="15" t="str">
        <f>IF(Cleaned_Data[[#This Row],[Rating]]="","Missing",IF(Cleaned_Data[[#This Row],[Rating]]&lt;3,"Poor",IF(Cleaned_Data[[#This Row],[Rating]]&lt;=4.5,"Average","Excellent")))</f>
        <v>Average</v>
      </c>
      <c r="I2" s="15" t="str">
        <f>IF(
Cleaned_Data[[#This Row],[Discount]]="",
"Missing",
IF(
Cleaned_Data[[#This Row],[Discount]]&lt;20%,
"Low Discount",
IF(
Cleaned_Data[[#This Row],[Discount]]&lt;=40%,
"Medium Discount",
"High Discount"
)
)
)</f>
        <v>Medium Discount</v>
      </c>
      <c r="J2" s="15" t="str">
        <f>IF(
Cleaned_Data[[#This Row],[Current Price]]="",
"Missing",
IF(
Cleaned_Data[[#This Row],[Current Price]]&lt;=Analysis!$B$3,
"Low Price",
IF(
Cleaned_Data[[#This Row],[Current Price]]&lt;=Analysis!$B$4,
"Medium Price",
"High Price"
)
)
)</f>
        <v>Medium Price</v>
      </c>
      <c r="K2" s="15" t="str">
        <f>IF(Cleaned_Data[[#This Row],[Review]]="","Missing",IF(Cleaned_Data[[#This Row],[Review]]&gt;=Engagement_Threshold,"Strong Engagement","Weak Engagement"))</f>
        <v>Weak Engagement</v>
      </c>
      <c r="L2" s="15" t="str">
        <f>IF(OR(Cleaned_Data[[#This Row],[Discount]]="",Cleaned_Data[[#This Row],[Rating]]=""),"Missing",IF(AND(Cleaned_Data[[#This Row],[Discount Category]]="High Discount",Cleaned_Data[[#This Row],[Rating Category]]="Poor"),"Flag","OK"))</f>
        <v>OK</v>
      </c>
      <c r="M2" s="15" t="str">
        <f>IF(OR(Cleaned_Data[[#This Row],[Discount]]="",Cleaned_Data[[#This Row],[Review]]=""),"Missing",IF(AND(Cleaned_Data[[#This Row],[Discount Category]]="High Discount",Cleaned_Data[[#This Row],[Engagement]]="Weak Engagement"),"Flag","OK"))</f>
        <v>OK</v>
      </c>
      <c r="N2" s="15" t="str">
        <f>IF(OR(Cleaned_Data[[#This Row],[Review]]="",Cleaned_Data[[#This Row],[Rating]]=""),"Missing",IF(AND(Cleaned_Data[[#This Row],[Engagement]]="Strong Engagement",Cleaned_Data[[#This Row],[Rating Category]]="Average"),"Flag","OK"))</f>
        <v>OK</v>
      </c>
      <c r="O2" s="15" t="str">
        <f>IF(OR(Cleaned_Data[[#This Row],[Review]]="",Cleaned_Data[[#This Row],[Rating]]=""),"Missing",IF(AND(Cleaned_Data[[#This Row],[Engagement]]="Strong Engagement",Cleaned_Data[[#This Row],[Rating Category]]="Excellent"),"Flag","OK"))</f>
        <v>OK</v>
      </c>
      <c r="P2" s="15" t="str">
        <f>IF(Cleaned_Data[[#This Row],[Rating]]="","Missing Rating","Has Rating")</f>
        <v>Has Rating</v>
      </c>
      <c r="Q2" s="7">
        <f>IFERROR(
(Cleaned_Data[[#This Row],[Old Price]]-Cleaned_Data[[#This Row],[Current Price]])/Cleaned_Data[[#This Row],[Old Price]],
""
)</f>
        <v>0.37704918032786883</v>
      </c>
      <c r="R2" s="7" t="str">
        <f>IF( Cleaned_Data[[#This Row],[Discount]] -
 Cleaned_Data[[#This Row],[Calculated Discount]]&gt;2%,
"Check",
"OK"
)</f>
        <v>OK</v>
      </c>
      <c r="S2" t="str">
        <f>IF(OR(Cleaned_Data[[#This Row],[Rating]]&lt;0,Cleaned_Data[[#This Row],[Rating]]&gt;5),"Check rating","OK")</f>
        <v>OK</v>
      </c>
      <c r="T2" t="str">
        <f>IF(OR(Cleaned_Data[[#This Row],[Discount]]&lt;0,Cleaned_Data[[#This Row],[Discount]]&gt;1),"Check discount","OK")</f>
        <v>OK</v>
      </c>
      <c r="U2" t="str">
        <f>IF(Cleaned_Data[[#This Row],[Current Price]]&gt;Cleaned_Data[[#This Row],[Old Price]],"Check prices","OK")</f>
        <v>OK</v>
      </c>
    </row>
    <row r="3" spans="1:21">
      <c r="A3" t="s">
        <v>10</v>
      </c>
      <c r="B3" s="8">
        <v>527</v>
      </c>
      <c r="C3" s="8">
        <v>999</v>
      </c>
      <c r="D3" s="7">
        <v>0.47</v>
      </c>
      <c r="E3">
        <v>14</v>
      </c>
      <c r="F3">
        <v>4.0999999999999996</v>
      </c>
      <c r="G3">
        <f>Cleaned_Data[[#This Row],[Old Price]]-Cleaned_Data[[#This Row],[Current Price]]</f>
        <v>472</v>
      </c>
      <c r="H3" s="15" t="str">
        <f>IF(Cleaned_Data[[#This Row],[Rating]]="","Missing",IF(Cleaned_Data[[#This Row],[Rating]]&lt;3,"Poor",IF(Cleaned_Data[[#This Row],[Rating]]&lt;=4.5,"Average","Excellent")))</f>
        <v>Average</v>
      </c>
      <c r="I3" s="15" t="str">
        <f>IF(
Cleaned_Data[[#This Row],[Discount]]="",
"Missing",
IF(
Cleaned_Data[[#This Row],[Discount]]&lt;20%,
"Low Discount",
IF(
Cleaned_Data[[#This Row],[Discount]]&lt;=40%,
"Medium Discount",
"High Discount"
)
)
)</f>
        <v>High Discount</v>
      </c>
      <c r="J3" s="15" t="str">
        <f>IF(
Cleaned_Data[[#This Row],[Current Price]]="",
"Missing",
IF(
Cleaned_Data[[#This Row],[Current Price]]&lt;=Analysis!$B$3,
"Low Price",
IF(
Cleaned_Data[[#This Row],[Current Price]]&lt;=Analysis!$B$4,
"Medium Price",
"High Price"
)
)
)</f>
        <v>Medium Price</v>
      </c>
      <c r="K3" s="15" t="str">
        <f>IF(Cleaned_Data[[#This Row],[Review]]="","Missing",IF(Cleaned_Data[[#This Row],[Review]]&gt;=Engagement_Threshold,"Strong Engagement","Weak Engagement"))</f>
        <v>Strong Engagement</v>
      </c>
      <c r="L3" s="15" t="str">
        <f>IF(OR(Cleaned_Data[[#This Row],[Discount]]="",Cleaned_Data[[#This Row],[Rating]]=""),"Missing",IF(AND(Cleaned_Data[[#This Row],[Discount Category]]="High Discount",Cleaned_Data[[#This Row],[Rating Category]]="Poor"),"Flag","OK"))</f>
        <v>OK</v>
      </c>
      <c r="M3" s="15" t="str">
        <f>IF(OR(Cleaned_Data[[#This Row],[Discount]]="",Cleaned_Data[[#This Row],[Review]]=""),"Missing",IF(AND(Cleaned_Data[[#This Row],[Discount Category]]="High Discount",Cleaned_Data[[#This Row],[Engagement]]="Weak Engagement"),"Flag","OK"))</f>
        <v>OK</v>
      </c>
      <c r="N3" s="15" t="str">
        <f>IF(OR(Cleaned_Data[[#This Row],[Review]]="",Cleaned_Data[[#This Row],[Rating]]=""),"Missing",IF(AND(Cleaned_Data[[#This Row],[Engagement]]="Strong Engagement",Cleaned_Data[[#This Row],[Rating Category]]="Average"),"Flag","OK"))</f>
        <v>Flag</v>
      </c>
      <c r="O3" s="15" t="str">
        <f>IF(OR(Cleaned_Data[[#This Row],[Review]]="",Cleaned_Data[[#This Row],[Rating]]=""),"Missing",IF(AND(Cleaned_Data[[#This Row],[Engagement]]="Strong Engagement",Cleaned_Data[[#This Row],[Rating Category]]="Excellent"),"Flag","OK"))</f>
        <v>OK</v>
      </c>
      <c r="P3" s="15" t="str">
        <f>IF(Cleaned_Data[[#This Row],[Rating]]="","Missing Rating","Has Rating")</f>
        <v>Has Rating</v>
      </c>
      <c r="Q3" s="7">
        <f>IFERROR(
(Cleaned_Data[[#This Row],[Old Price]]-Cleaned_Data[[#This Row],[Current Price]])/Cleaned_Data[[#This Row],[Old Price]],
""
)</f>
        <v>0.47247247247247248</v>
      </c>
      <c r="R3" s="7" t="str">
        <f>IF( Cleaned_Data[[#This Row],[Discount]] -
 Cleaned_Data[[#This Row],[Calculated Discount]]&gt;2%,
"Check",
"OK"
)</f>
        <v>OK</v>
      </c>
      <c r="S3" t="str">
        <f>IF(OR(Cleaned_Data[[#This Row],[Rating]]&lt;0,Cleaned_Data[[#This Row],[Rating]]&gt;5),"Check rating","OK")</f>
        <v>OK</v>
      </c>
      <c r="T3" t="str">
        <f>IF(OR(Cleaned_Data[[#This Row],[Discount]]&lt;0,Cleaned_Data[[#This Row],[Discount]]&gt;1),"Check discount","OK")</f>
        <v>OK</v>
      </c>
      <c r="U3" t="str">
        <f>IF(Cleaned_Data[[#This Row],[Current Price]]&gt;Cleaned_Data[[#This Row],[Old Price]],"Check prices","OK")</f>
        <v>OK</v>
      </c>
    </row>
    <row r="4" spans="1:21">
      <c r="A4" t="s">
        <v>14</v>
      </c>
      <c r="B4" s="8">
        <v>2199</v>
      </c>
      <c r="C4" s="8">
        <v>2923</v>
      </c>
      <c r="D4" s="7">
        <v>0.25</v>
      </c>
      <c r="E4">
        <v>24</v>
      </c>
      <c r="F4">
        <v>4.5999999999999996</v>
      </c>
      <c r="G4">
        <f>Cleaned_Data[[#This Row],[Old Price]]-Cleaned_Data[[#This Row],[Current Price]]</f>
        <v>724</v>
      </c>
      <c r="H4" s="15" t="str">
        <f>IF(Cleaned_Data[[#This Row],[Rating]]="","Missing",IF(Cleaned_Data[[#This Row],[Rating]]&lt;3,"Poor",IF(Cleaned_Data[[#This Row],[Rating]]&lt;=4.5,"Average","Excellent")))</f>
        <v>Excellent</v>
      </c>
      <c r="I4" s="15" t="str">
        <f>IF(
Cleaned_Data[[#This Row],[Discount]]="",
"Missing",
IF(
Cleaned_Data[[#This Row],[Discount]]&lt;20%,
"Low Discount",
IF(
Cleaned_Data[[#This Row],[Discount]]&lt;=40%,
"Medium Discount",
"High Discount"
)
)
)</f>
        <v>Medium Discount</v>
      </c>
      <c r="J4" s="15" t="str">
        <f>IF(
Cleaned_Data[[#This Row],[Current Price]]="",
"Missing",
IF(
Cleaned_Data[[#This Row],[Current Price]]&lt;=Analysis!$B$3,
"Low Price",
IF(
Cleaned_Data[[#This Row],[Current Price]]&lt;=Analysis!$B$4,
"Medium Price",
"High Price"
)
)
)</f>
        <v>High Price</v>
      </c>
      <c r="K4" s="15" t="str">
        <f>IF(Cleaned_Data[[#This Row],[Review]]="","Missing",IF(Cleaned_Data[[#This Row],[Review]]&gt;=Engagement_Threshold,"Strong Engagement","Weak Engagement"))</f>
        <v>Strong Engagement</v>
      </c>
      <c r="L4" s="15" t="str">
        <f>IF(OR(Cleaned_Data[[#This Row],[Discount]]="",Cleaned_Data[[#This Row],[Rating]]=""),"Missing",IF(AND(Cleaned_Data[[#This Row],[Discount Category]]="High Discount",Cleaned_Data[[#This Row],[Rating Category]]="Poor"),"Flag","OK"))</f>
        <v>OK</v>
      </c>
      <c r="M4" s="15" t="str">
        <f>IF(OR(Cleaned_Data[[#This Row],[Discount]]="",Cleaned_Data[[#This Row],[Review]]=""),"Missing",IF(AND(Cleaned_Data[[#This Row],[Discount Category]]="High Discount",Cleaned_Data[[#This Row],[Engagement]]="Weak Engagement"),"Flag","OK"))</f>
        <v>OK</v>
      </c>
      <c r="N4" s="15" t="str">
        <f>IF(OR(Cleaned_Data[[#This Row],[Review]]="",Cleaned_Data[[#This Row],[Rating]]=""),"Missing",IF(AND(Cleaned_Data[[#This Row],[Engagement]]="Strong Engagement",Cleaned_Data[[#This Row],[Rating Category]]="Average"),"Flag","OK"))</f>
        <v>OK</v>
      </c>
      <c r="O4" s="15" t="str">
        <f>IF(OR(Cleaned_Data[[#This Row],[Review]]="",Cleaned_Data[[#This Row],[Rating]]=""),"Missing",IF(AND(Cleaned_Data[[#This Row],[Engagement]]="Strong Engagement",Cleaned_Data[[#This Row],[Rating Category]]="Excellent"),"Flag","OK"))</f>
        <v>Flag</v>
      </c>
      <c r="P4" s="15" t="str">
        <f>IF(Cleaned_Data[[#This Row],[Rating]]="","Missing Rating","Has Rating")</f>
        <v>Has Rating</v>
      </c>
      <c r="Q4" s="7">
        <f>IFERROR(
(Cleaned_Data[[#This Row],[Old Price]]-Cleaned_Data[[#This Row],[Current Price]])/Cleaned_Data[[#This Row],[Old Price]],
""
)</f>
        <v>0.24769072870338693</v>
      </c>
      <c r="R4" s="7" t="str">
        <f>IF( Cleaned_Data[[#This Row],[Discount]] -
 Cleaned_Data[[#This Row],[Calculated Discount]]&gt;2%,
"Check",
"OK"
)</f>
        <v>OK</v>
      </c>
      <c r="S4" t="str">
        <f>IF(OR(Cleaned_Data[[#This Row],[Rating]]&lt;0,Cleaned_Data[[#This Row],[Rating]]&gt;5),"Check rating","OK")</f>
        <v>OK</v>
      </c>
      <c r="T4" t="str">
        <f>IF(OR(Cleaned_Data[[#This Row],[Discount]]&lt;0,Cleaned_Data[[#This Row],[Discount]]&gt;1),"Check discount","OK")</f>
        <v>OK</v>
      </c>
      <c r="U4" t="str">
        <f>IF(Cleaned_Data[[#This Row],[Current Price]]&gt;Cleaned_Data[[#This Row],[Old Price]],"Check prices","OK")</f>
        <v>OK</v>
      </c>
    </row>
    <row r="5" spans="1:21">
      <c r="A5" t="s">
        <v>18</v>
      </c>
      <c r="B5" s="8">
        <v>1580</v>
      </c>
      <c r="C5" s="8">
        <v>2499</v>
      </c>
      <c r="D5" s="7">
        <v>0.37</v>
      </c>
      <c r="E5">
        <v>7</v>
      </c>
      <c r="F5">
        <v>4.7</v>
      </c>
      <c r="G5">
        <f>Cleaned_Data[[#This Row],[Old Price]]-Cleaned_Data[[#This Row],[Current Price]]</f>
        <v>919</v>
      </c>
      <c r="H5" s="15" t="str">
        <f>IF(Cleaned_Data[[#This Row],[Rating]]="","Missing",IF(Cleaned_Data[[#This Row],[Rating]]&lt;3,"Poor",IF(Cleaned_Data[[#This Row],[Rating]]&lt;=4.5,"Average","Excellent")))</f>
        <v>Excellent</v>
      </c>
      <c r="I5" s="15" t="str">
        <f>IF(
Cleaned_Data[[#This Row],[Discount]]="",
"Missing",
IF(
Cleaned_Data[[#This Row],[Discount]]&lt;20%,
"Low Discount",
IF(
Cleaned_Data[[#This Row],[Discount]]&lt;=40%,
"Medium Discount",
"High Discount"
)
)
)</f>
        <v>Medium Discount</v>
      </c>
      <c r="J5" s="15" t="str">
        <f>IF(
Cleaned_Data[[#This Row],[Current Price]]="",
"Missing",
IF(
Cleaned_Data[[#This Row],[Current Price]]&lt;=Analysis!$B$3,
"Low Price",
IF(
Cleaned_Data[[#This Row],[Current Price]]&lt;=Analysis!$B$4,
"Medium Price",
"High Price"
)
)
)</f>
        <v>Medium Price</v>
      </c>
      <c r="K5" s="15" t="str">
        <f>IF(Cleaned_Data[[#This Row],[Review]]="","Missing",IF(Cleaned_Data[[#This Row],[Review]]&gt;=Engagement_Threshold,"Strong Engagement","Weak Engagement"))</f>
        <v>Weak Engagement</v>
      </c>
      <c r="L5" s="15" t="str">
        <f>IF(OR(Cleaned_Data[[#This Row],[Discount]]="",Cleaned_Data[[#This Row],[Rating]]=""),"Missing",IF(AND(Cleaned_Data[[#This Row],[Discount Category]]="High Discount",Cleaned_Data[[#This Row],[Rating Category]]="Poor"),"Flag","OK"))</f>
        <v>OK</v>
      </c>
      <c r="M5" s="15" t="str">
        <f>IF(OR(Cleaned_Data[[#This Row],[Discount]]="",Cleaned_Data[[#This Row],[Review]]=""),"Missing",IF(AND(Cleaned_Data[[#This Row],[Discount Category]]="High Discount",Cleaned_Data[[#This Row],[Engagement]]="Weak Engagement"),"Flag","OK"))</f>
        <v>OK</v>
      </c>
      <c r="N5" s="15" t="str">
        <f>IF(OR(Cleaned_Data[[#This Row],[Review]]="",Cleaned_Data[[#This Row],[Rating]]=""),"Missing",IF(AND(Cleaned_Data[[#This Row],[Engagement]]="Strong Engagement",Cleaned_Data[[#This Row],[Rating Category]]="Average"),"Flag","OK"))</f>
        <v>OK</v>
      </c>
      <c r="O5" s="15" t="str">
        <f>IF(OR(Cleaned_Data[[#This Row],[Review]]="",Cleaned_Data[[#This Row],[Rating]]=""),"Missing",IF(AND(Cleaned_Data[[#This Row],[Engagement]]="Strong Engagement",Cleaned_Data[[#This Row],[Rating Category]]="Excellent"),"Flag","OK"))</f>
        <v>OK</v>
      </c>
      <c r="P5" s="15" t="str">
        <f>IF(Cleaned_Data[[#This Row],[Rating]]="","Missing Rating","Has Rating")</f>
        <v>Has Rating</v>
      </c>
      <c r="Q5" s="7">
        <f>IFERROR(
(Cleaned_Data[[#This Row],[Old Price]]-Cleaned_Data[[#This Row],[Current Price]])/Cleaned_Data[[#This Row],[Old Price]],
""
)</f>
        <v>0.36774709883953582</v>
      </c>
      <c r="R5" s="7" t="str">
        <f>IF( Cleaned_Data[[#This Row],[Discount]] -
 Cleaned_Data[[#This Row],[Calculated Discount]]&gt;2%,
"Check",
"OK"
)</f>
        <v>OK</v>
      </c>
      <c r="S5" t="str">
        <f>IF(OR(Cleaned_Data[[#This Row],[Rating]]&lt;0,Cleaned_Data[[#This Row],[Rating]]&gt;5),"Check rating","OK")</f>
        <v>OK</v>
      </c>
      <c r="T5" t="str">
        <f>IF(OR(Cleaned_Data[[#This Row],[Discount]]&lt;0,Cleaned_Data[[#This Row],[Discount]]&gt;1),"Check discount","OK")</f>
        <v>OK</v>
      </c>
      <c r="U5" t="str">
        <f>IF(Cleaned_Data[[#This Row],[Current Price]]&gt;Cleaned_Data[[#This Row],[Old Price]],"Check prices","OK")</f>
        <v>OK</v>
      </c>
    </row>
    <row r="6" spans="1:21">
      <c r="A6" t="s">
        <v>22</v>
      </c>
      <c r="B6" s="8">
        <v>1740</v>
      </c>
      <c r="C6" s="8">
        <v>2356</v>
      </c>
      <c r="D6" s="7">
        <v>0.26</v>
      </c>
      <c r="E6">
        <v>5</v>
      </c>
      <c r="F6">
        <v>4.8</v>
      </c>
      <c r="G6">
        <f>Cleaned_Data[[#This Row],[Old Price]]-Cleaned_Data[[#This Row],[Current Price]]</f>
        <v>616</v>
      </c>
      <c r="H6" s="15" t="str">
        <f>IF(Cleaned_Data[[#This Row],[Rating]]="","Missing",IF(Cleaned_Data[[#This Row],[Rating]]&lt;3,"Poor",IF(Cleaned_Data[[#This Row],[Rating]]&lt;=4.5,"Average","Excellent")))</f>
        <v>Excellent</v>
      </c>
      <c r="I6" s="15" t="str">
        <f>IF(
Cleaned_Data[[#This Row],[Discount]]="",
"Missing",
IF(
Cleaned_Data[[#This Row],[Discount]]&lt;20%,
"Low Discount",
IF(
Cleaned_Data[[#This Row],[Discount]]&lt;=40%,
"Medium Discount",
"High Discount"
)
)
)</f>
        <v>Medium Discount</v>
      </c>
      <c r="J6" s="15" t="str">
        <f>IF(
Cleaned_Data[[#This Row],[Current Price]]="",
"Missing",
IF(
Cleaned_Data[[#This Row],[Current Price]]&lt;=Analysis!$B$3,
"Low Price",
IF(
Cleaned_Data[[#This Row],[Current Price]]&lt;=Analysis!$B$4,
"Medium Price",
"High Price"
)
)
)</f>
        <v>High Price</v>
      </c>
      <c r="K6" s="15" t="str">
        <f>IF(Cleaned_Data[[#This Row],[Review]]="","Missing",IF(Cleaned_Data[[#This Row],[Review]]&gt;=Engagement_Threshold,"Strong Engagement","Weak Engagement"))</f>
        <v>Weak Engagement</v>
      </c>
      <c r="L6" s="15" t="str">
        <f>IF(OR(Cleaned_Data[[#This Row],[Discount]]="",Cleaned_Data[[#This Row],[Rating]]=""),"Missing",IF(AND(Cleaned_Data[[#This Row],[Discount Category]]="High Discount",Cleaned_Data[[#This Row],[Rating Category]]="Poor"),"Flag","OK"))</f>
        <v>OK</v>
      </c>
      <c r="M6" s="15" t="str">
        <f>IF(OR(Cleaned_Data[[#This Row],[Discount]]="",Cleaned_Data[[#This Row],[Review]]=""),"Missing",IF(AND(Cleaned_Data[[#This Row],[Discount Category]]="High Discount",Cleaned_Data[[#This Row],[Engagement]]="Weak Engagement"),"Flag","OK"))</f>
        <v>OK</v>
      </c>
      <c r="N6" s="15" t="str">
        <f>IF(OR(Cleaned_Data[[#This Row],[Review]]="",Cleaned_Data[[#This Row],[Rating]]=""),"Missing",IF(AND(Cleaned_Data[[#This Row],[Engagement]]="Strong Engagement",Cleaned_Data[[#This Row],[Rating Category]]="Average"),"Flag","OK"))</f>
        <v>OK</v>
      </c>
      <c r="O6" s="15" t="str">
        <f>IF(OR(Cleaned_Data[[#This Row],[Review]]="",Cleaned_Data[[#This Row],[Rating]]=""),"Missing",IF(AND(Cleaned_Data[[#This Row],[Engagement]]="Strong Engagement",Cleaned_Data[[#This Row],[Rating Category]]="Excellent"),"Flag","OK"))</f>
        <v>OK</v>
      </c>
      <c r="P6" s="15" t="str">
        <f>IF(Cleaned_Data[[#This Row],[Rating]]="","Missing Rating","Has Rating")</f>
        <v>Has Rating</v>
      </c>
      <c r="Q6" s="7">
        <f>IFERROR(
(Cleaned_Data[[#This Row],[Old Price]]-Cleaned_Data[[#This Row],[Current Price]])/Cleaned_Data[[#This Row],[Old Price]],
""
)</f>
        <v>0.26146010186757218</v>
      </c>
      <c r="R6" s="7" t="str">
        <f>IF( Cleaned_Data[[#This Row],[Discount]] -
 Cleaned_Data[[#This Row],[Calculated Discount]]&gt;2%,
"Check",
"OK"
)</f>
        <v>OK</v>
      </c>
      <c r="S6" t="str">
        <f>IF(OR(Cleaned_Data[[#This Row],[Rating]]&lt;0,Cleaned_Data[[#This Row],[Rating]]&gt;5),"Check rating","OK")</f>
        <v>OK</v>
      </c>
      <c r="T6" t="str">
        <f>IF(OR(Cleaned_Data[[#This Row],[Discount]]&lt;0,Cleaned_Data[[#This Row],[Discount]]&gt;1),"Check discount","OK")</f>
        <v>OK</v>
      </c>
      <c r="U6" t="str">
        <f>IF(Cleaned_Data[[#This Row],[Current Price]]&gt;Cleaned_Data[[#This Row],[Old Price]],"Check prices","OK")</f>
        <v>OK</v>
      </c>
    </row>
    <row r="7" spans="1:21">
      <c r="A7" t="s">
        <v>26</v>
      </c>
      <c r="B7" s="8">
        <v>2999</v>
      </c>
      <c r="C7" s="8">
        <v>3290</v>
      </c>
      <c r="D7" s="7">
        <v>0.09</v>
      </c>
      <c r="E7">
        <v>15</v>
      </c>
      <c r="F7">
        <v>4</v>
      </c>
      <c r="G7">
        <f>Cleaned_Data[[#This Row],[Old Price]]-Cleaned_Data[[#This Row],[Current Price]]</f>
        <v>291</v>
      </c>
      <c r="H7" s="15" t="str">
        <f>IF(Cleaned_Data[[#This Row],[Rating]]="","Missing",IF(Cleaned_Data[[#This Row],[Rating]]&lt;3,"Poor",IF(Cleaned_Data[[#This Row],[Rating]]&lt;=4.5,"Average","Excellent")))</f>
        <v>Average</v>
      </c>
      <c r="I7" s="15" t="str">
        <f>IF(
Cleaned_Data[[#This Row],[Discount]]="",
"Missing",
IF(
Cleaned_Data[[#This Row],[Discount]]&lt;20%,
"Low Discount",
IF(
Cleaned_Data[[#This Row],[Discount]]&lt;=40%,
"Medium Discount",
"High Discount"
)
)
)</f>
        <v>Low Discount</v>
      </c>
      <c r="J7" s="15" t="str">
        <f>IF(
Cleaned_Data[[#This Row],[Current Price]]="",
"Missing",
IF(
Cleaned_Data[[#This Row],[Current Price]]&lt;=Analysis!$B$3,
"Low Price",
IF(
Cleaned_Data[[#This Row],[Current Price]]&lt;=Analysis!$B$4,
"Medium Price",
"High Price"
)
)
)</f>
        <v>High Price</v>
      </c>
      <c r="K7" s="15" t="str">
        <f>IF(Cleaned_Data[[#This Row],[Review]]="","Missing",IF(Cleaned_Data[[#This Row],[Review]]&gt;=Engagement_Threshold,"Strong Engagement","Weak Engagement"))</f>
        <v>Strong Engagement</v>
      </c>
      <c r="L7" s="15" t="str">
        <f>IF(OR(Cleaned_Data[[#This Row],[Discount]]="",Cleaned_Data[[#This Row],[Rating]]=""),"Missing",IF(AND(Cleaned_Data[[#This Row],[Discount Category]]="High Discount",Cleaned_Data[[#This Row],[Rating Category]]="Poor"),"Flag","OK"))</f>
        <v>OK</v>
      </c>
      <c r="M7" s="15" t="str">
        <f>IF(OR(Cleaned_Data[[#This Row],[Discount]]="",Cleaned_Data[[#This Row],[Review]]=""),"Missing",IF(AND(Cleaned_Data[[#This Row],[Discount Category]]="High Discount",Cleaned_Data[[#This Row],[Engagement]]="Weak Engagement"),"Flag","OK"))</f>
        <v>OK</v>
      </c>
      <c r="N7" s="15" t="str">
        <f>IF(OR(Cleaned_Data[[#This Row],[Review]]="",Cleaned_Data[[#This Row],[Rating]]=""),"Missing",IF(AND(Cleaned_Data[[#This Row],[Engagement]]="Strong Engagement",Cleaned_Data[[#This Row],[Rating Category]]="Average"),"Flag","OK"))</f>
        <v>Flag</v>
      </c>
      <c r="O7" s="15" t="str">
        <f>IF(OR(Cleaned_Data[[#This Row],[Review]]="",Cleaned_Data[[#This Row],[Rating]]=""),"Missing",IF(AND(Cleaned_Data[[#This Row],[Engagement]]="Strong Engagement",Cleaned_Data[[#This Row],[Rating Category]]="Excellent"),"Flag","OK"))</f>
        <v>OK</v>
      </c>
      <c r="P7" s="15" t="str">
        <f>IF(Cleaned_Data[[#This Row],[Rating]]="","Missing Rating","Has Rating")</f>
        <v>Has Rating</v>
      </c>
      <c r="Q7" s="7">
        <f>IFERROR(
(Cleaned_Data[[#This Row],[Old Price]]-Cleaned_Data[[#This Row],[Current Price]])/Cleaned_Data[[#This Row],[Old Price]],
""
)</f>
        <v>8.8449848024316116E-2</v>
      </c>
      <c r="R7" s="7" t="str">
        <f>IF( Cleaned_Data[[#This Row],[Discount]] -
 Cleaned_Data[[#This Row],[Calculated Discount]]&gt;2%,
"Check",
"OK"
)</f>
        <v>OK</v>
      </c>
      <c r="S7" t="str">
        <f>IF(OR(Cleaned_Data[[#This Row],[Rating]]&lt;0,Cleaned_Data[[#This Row],[Rating]]&gt;5),"Check rating","OK")</f>
        <v>OK</v>
      </c>
      <c r="T7" t="str">
        <f>IF(OR(Cleaned_Data[[#This Row],[Discount]]&lt;0,Cleaned_Data[[#This Row],[Discount]]&gt;1),"Check discount","OK")</f>
        <v>OK</v>
      </c>
      <c r="U7" t="str">
        <f>IF(Cleaned_Data[[#This Row],[Current Price]]&gt;Cleaned_Data[[#This Row],[Old Price]],"Check prices","OK")</f>
        <v>OK</v>
      </c>
    </row>
    <row r="8" spans="1:21">
      <c r="A8" t="s">
        <v>30</v>
      </c>
      <c r="B8" s="8">
        <v>2319</v>
      </c>
      <c r="C8" s="8">
        <v>3032</v>
      </c>
      <c r="D8" s="7">
        <v>0.24</v>
      </c>
      <c r="E8">
        <v>55</v>
      </c>
      <c r="F8">
        <v>4.5999999999999996</v>
      </c>
      <c r="G8">
        <f>Cleaned_Data[[#This Row],[Old Price]]-Cleaned_Data[[#This Row],[Current Price]]</f>
        <v>713</v>
      </c>
      <c r="H8" s="15" t="str">
        <f>IF(Cleaned_Data[[#This Row],[Rating]]="","Missing",IF(Cleaned_Data[[#This Row],[Rating]]&lt;3,"Poor",IF(Cleaned_Data[[#This Row],[Rating]]&lt;=4.5,"Average","Excellent")))</f>
        <v>Excellent</v>
      </c>
      <c r="I8" s="15" t="str">
        <f>IF(
Cleaned_Data[[#This Row],[Discount]]="",
"Missing",
IF(
Cleaned_Data[[#This Row],[Discount]]&lt;20%,
"Low Discount",
IF(
Cleaned_Data[[#This Row],[Discount]]&lt;=40%,
"Medium Discount",
"High Discount"
)
)
)</f>
        <v>Medium Discount</v>
      </c>
      <c r="J8" s="15" t="str">
        <f>IF(
Cleaned_Data[[#This Row],[Current Price]]="",
"Missing",
IF(
Cleaned_Data[[#This Row],[Current Price]]&lt;=Analysis!$B$3,
"Low Price",
IF(
Cleaned_Data[[#This Row],[Current Price]]&lt;=Analysis!$B$4,
"Medium Price",
"High Price"
)
)
)</f>
        <v>High Price</v>
      </c>
      <c r="K8" s="15" t="str">
        <f>IF(Cleaned_Data[[#This Row],[Review]]="","Missing",IF(Cleaned_Data[[#This Row],[Review]]&gt;=Engagement_Threshold,"Strong Engagement","Weak Engagement"))</f>
        <v>Strong Engagement</v>
      </c>
      <c r="L8" s="15" t="str">
        <f>IF(OR(Cleaned_Data[[#This Row],[Discount]]="",Cleaned_Data[[#This Row],[Rating]]=""),"Missing",IF(AND(Cleaned_Data[[#This Row],[Discount Category]]="High Discount",Cleaned_Data[[#This Row],[Rating Category]]="Poor"),"Flag","OK"))</f>
        <v>OK</v>
      </c>
      <c r="M8" s="15" t="str">
        <f>IF(OR(Cleaned_Data[[#This Row],[Discount]]="",Cleaned_Data[[#This Row],[Review]]=""),"Missing",IF(AND(Cleaned_Data[[#This Row],[Discount Category]]="High Discount",Cleaned_Data[[#This Row],[Engagement]]="Weak Engagement"),"Flag","OK"))</f>
        <v>OK</v>
      </c>
      <c r="N8" s="15" t="str">
        <f>IF(OR(Cleaned_Data[[#This Row],[Review]]="",Cleaned_Data[[#This Row],[Rating]]=""),"Missing",IF(AND(Cleaned_Data[[#This Row],[Engagement]]="Strong Engagement",Cleaned_Data[[#This Row],[Rating Category]]="Average"),"Flag","OK"))</f>
        <v>OK</v>
      </c>
      <c r="O8" s="15" t="str">
        <f>IF(OR(Cleaned_Data[[#This Row],[Review]]="",Cleaned_Data[[#This Row],[Rating]]=""),"Missing",IF(AND(Cleaned_Data[[#This Row],[Engagement]]="Strong Engagement",Cleaned_Data[[#This Row],[Rating Category]]="Excellent"),"Flag","OK"))</f>
        <v>Flag</v>
      </c>
      <c r="P8" s="15" t="str">
        <f>IF(Cleaned_Data[[#This Row],[Rating]]="","Missing Rating","Has Rating")</f>
        <v>Has Rating</v>
      </c>
      <c r="Q8" s="7">
        <f>IFERROR(
(Cleaned_Data[[#This Row],[Old Price]]-Cleaned_Data[[#This Row],[Current Price]])/Cleaned_Data[[#This Row],[Old Price]],
""
)</f>
        <v>0.23515831134564644</v>
      </c>
      <c r="R8" s="7" t="str">
        <f>IF( Cleaned_Data[[#This Row],[Discount]] -
 Cleaned_Data[[#This Row],[Calculated Discount]]&gt;2%,
"Check",
"OK"
)</f>
        <v>OK</v>
      </c>
      <c r="S8" t="str">
        <f>IF(OR(Cleaned_Data[[#This Row],[Rating]]&lt;0,Cleaned_Data[[#This Row],[Rating]]&gt;5),"Check rating","OK")</f>
        <v>OK</v>
      </c>
      <c r="T8" t="str">
        <f>IF(OR(Cleaned_Data[[#This Row],[Discount]]&lt;0,Cleaned_Data[[#This Row],[Discount]]&gt;1),"Check discount","OK")</f>
        <v>OK</v>
      </c>
      <c r="U8" t="str">
        <f>IF(Cleaned_Data[[#This Row],[Current Price]]&gt;Cleaned_Data[[#This Row],[Old Price]],"Check prices","OK")</f>
        <v>OK</v>
      </c>
    </row>
    <row r="9" spans="1:21">
      <c r="A9" t="s">
        <v>33</v>
      </c>
      <c r="B9" s="8">
        <v>988</v>
      </c>
      <c r="C9" s="8">
        <v>1580</v>
      </c>
      <c r="D9" s="7">
        <v>0.37</v>
      </c>
      <c r="E9">
        <v>2</v>
      </c>
      <c r="F9">
        <v>4</v>
      </c>
      <c r="G9">
        <f>Cleaned_Data[[#This Row],[Old Price]]-Cleaned_Data[[#This Row],[Current Price]]</f>
        <v>592</v>
      </c>
      <c r="H9" s="15" t="str">
        <f>IF(Cleaned_Data[[#This Row],[Rating]]="","Missing",IF(Cleaned_Data[[#This Row],[Rating]]&lt;3,"Poor",IF(Cleaned_Data[[#This Row],[Rating]]&lt;=4.5,"Average","Excellent")))</f>
        <v>Average</v>
      </c>
      <c r="I9" s="15" t="str">
        <f>IF(
Cleaned_Data[[#This Row],[Discount]]="",
"Missing",
IF(
Cleaned_Data[[#This Row],[Discount]]&lt;20%,
"Low Discount",
IF(
Cleaned_Data[[#This Row],[Discount]]&lt;=40%,
"Medium Discount",
"High Discount"
)
)
)</f>
        <v>Medium Discount</v>
      </c>
      <c r="J9" s="15" t="str">
        <f>IF(
Cleaned_Data[[#This Row],[Current Price]]="",
"Missing",
IF(
Cleaned_Data[[#This Row],[Current Price]]&lt;=Analysis!$B$3,
"Low Price",
IF(
Cleaned_Data[[#This Row],[Current Price]]&lt;=Analysis!$B$4,
"Medium Price",
"High Price"
)
)
)</f>
        <v>Medium Price</v>
      </c>
      <c r="K9" s="15" t="str">
        <f>IF(Cleaned_Data[[#This Row],[Review]]="","Missing",IF(Cleaned_Data[[#This Row],[Review]]&gt;=Engagement_Threshold,"Strong Engagement","Weak Engagement"))</f>
        <v>Weak Engagement</v>
      </c>
      <c r="L9" s="15" t="str">
        <f>IF(OR(Cleaned_Data[[#This Row],[Discount]]="",Cleaned_Data[[#This Row],[Rating]]=""),"Missing",IF(AND(Cleaned_Data[[#This Row],[Discount Category]]="High Discount",Cleaned_Data[[#This Row],[Rating Category]]="Poor"),"Flag","OK"))</f>
        <v>OK</v>
      </c>
      <c r="M9" s="15" t="str">
        <f>IF(OR(Cleaned_Data[[#This Row],[Discount]]="",Cleaned_Data[[#This Row],[Review]]=""),"Missing",IF(AND(Cleaned_Data[[#This Row],[Discount Category]]="High Discount",Cleaned_Data[[#This Row],[Engagement]]="Weak Engagement"),"Flag","OK"))</f>
        <v>OK</v>
      </c>
      <c r="N9" s="15" t="str">
        <f>IF(OR(Cleaned_Data[[#This Row],[Review]]="",Cleaned_Data[[#This Row],[Rating]]=""),"Missing",IF(AND(Cleaned_Data[[#This Row],[Engagement]]="Strong Engagement",Cleaned_Data[[#This Row],[Rating Category]]="Average"),"Flag","OK"))</f>
        <v>OK</v>
      </c>
      <c r="O9" s="15" t="str">
        <f>IF(OR(Cleaned_Data[[#This Row],[Review]]="",Cleaned_Data[[#This Row],[Rating]]=""),"Missing",IF(AND(Cleaned_Data[[#This Row],[Engagement]]="Strong Engagement",Cleaned_Data[[#This Row],[Rating Category]]="Excellent"),"Flag","OK"))</f>
        <v>OK</v>
      </c>
      <c r="P9" s="15" t="str">
        <f>IF(Cleaned_Data[[#This Row],[Rating]]="","Missing Rating","Has Rating")</f>
        <v>Has Rating</v>
      </c>
      <c r="Q9" s="7">
        <f>IFERROR(
(Cleaned_Data[[#This Row],[Old Price]]-Cleaned_Data[[#This Row],[Current Price]])/Cleaned_Data[[#This Row],[Old Price]],
""
)</f>
        <v>0.37468354430379747</v>
      </c>
      <c r="R9" s="7" t="str">
        <f>IF( Cleaned_Data[[#This Row],[Discount]] -
 Cleaned_Data[[#This Row],[Calculated Discount]]&gt;2%,
"Check",
"OK"
)</f>
        <v>OK</v>
      </c>
      <c r="S9" t="str">
        <f>IF(OR(Cleaned_Data[[#This Row],[Rating]]&lt;0,Cleaned_Data[[#This Row],[Rating]]&gt;5),"Check rating","OK")</f>
        <v>OK</v>
      </c>
      <c r="T9" t="str">
        <f>IF(OR(Cleaned_Data[[#This Row],[Discount]]&lt;0,Cleaned_Data[[#This Row],[Discount]]&gt;1),"Check discount","OK")</f>
        <v>OK</v>
      </c>
      <c r="U9" t="str">
        <f>IF(Cleaned_Data[[#This Row],[Current Price]]&gt;Cleaned_Data[[#This Row],[Old Price]],"Check prices","OK")</f>
        <v>OK</v>
      </c>
    </row>
    <row r="10" spans="1:21">
      <c r="A10" t="s">
        <v>35</v>
      </c>
      <c r="B10" s="8">
        <v>1274</v>
      </c>
      <c r="C10" s="8">
        <v>2800</v>
      </c>
      <c r="D10" s="7">
        <v>0.55000000000000004</v>
      </c>
      <c r="E10">
        <v>5</v>
      </c>
      <c r="F10">
        <v>4.8</v>
      </c>
      <c r="G10">
        <f>Cleaned_Data[[#This Row],[Old Price]]-Cleaned_Data[[#This Row],[Current Price]]</f>
        <v>1526</v>
      </c>
      <c r="H10" s="15" t="str">
        <f>IF(Cleaned_Data[[#This Row],[Rating]]="","Missing",IF(Cleaned_Data[[#This Row],[Rating]]&lt;3,"Poor",IF(Cleaned_Data[[#This Row],[Rating]]&lt;=4.5,"Average","Excellent")))</f>
        <v>Excellent</v>
      </c>
      <c r="I10" s="15" t="str">
        <f>IF(
Cleaned_Data[[#This Row],[Discount]]="",
"Missing",
IF(
Cleaned_Data[[#This Row],[Discount]]&lt;20%,
"Low Discount",
IF(
Cleaned_Data[[#This Row],[Discount]]&lt;=40%,
"Medium Discount",
"High Discount"
)
)
)</f>
        <v>High Discount</v>
      </c>
      <c r="J10" s="15" t="str">
        <f>IF(
Cleaned_Data[[#This Row],[Current Price]]="",
"Missing",
IF(
Cleaned_Data[[#This Row],[Current Price]]&lt;=Analysis!$B$3,
"Low Price",
IF(
Cleaned_Data[[#This Row],[Current Price]]&lt;=Analysis!$B$4,
"Medium Price",
"High Price"
)
)
)</f>
        <v>Medium Price</v>
      </c>
      <c r="K10" s="15" t="str">
        <f>IF(Cleaned_Data[[#This Row],[Review]]="","Missing",IF(Cleaned_Data[[#This Row],[Review]]&gt;=Engagement_Threshold,"Strong Engagement","Weak Engagement"))</f>
        <v>Weak Engagement</v>
      </c>
      <c r="L10" s="15" t="str">
        <f>IF(OR(Cleaned_Data[[#This Row],[Discount]]="",Cleaned_Data[[#This Row],[Rating]]=""),"Missing",IF(AND(Cleaned_Data[[#This Row],[Discount Category]]="High Discount",Cleaned_Data[[#This Row],[Rating Category]]="Poor"),"Flag","OK"))</f>
        <v>OK</v>
      </c>
      <c r="M10" s="15" t="str">
        <f>IF(OR(Cleaned_Data[[#This Row],[Discount]]="",Cleaned_Data[[#This Row],[Review]]=""),"Missing",IF(AND(Cleaned_Data[[#This Row],[Discount Category]]="High Discount",Cleaned_Data[[#This Row],[Engagement]]="Weak Engagement"),"Flag","OK"))</f>
        <v>Flag</v>
      </c>
      <c r="N10" s="15" t="str">
        <f>IF(OR(Cleaned_Data[[#This Row],[Review]]="",Cleaned_Data[[#This Row],[Rating]]=""),"Missing",IF(AND(Cleaned_Data[[#This Row],[Engagement]]="Strong Engagement",Cleaned_Data[[#This Row],[Rating Category]]="Average"),"Flag","OK"))</f>
        <v>OK</v>
      </c>
      <c r="O10" s="15" t="str">
        <f>IF(OR(Cleaned_Data[[#This Row],[Review]]="",Cleaned_Data[[#This Row],[Rating]]=""),"Missing",IF(AND(Cleaned_Data[[#This Row],[Engagement]]="Strong Engagement",Cleaned_Data[[#This Row],[Rating Category]]="Excellent"),"Flag","OK"))</f>
        <v>OK</v>
      </c>
      <c r="P10" s="15" t="str">
        <f>IF(Cleaned_Data[[#This Row],[Rating]]="","Missing Rating","Has Rating")</f>
        <v>Has Rating</v>
      </c>
      <c r="Q10" s="7">
        <f>IFERROR(
(Cleaned_Data[[#This Row],[Old Price]]-Cleaned_Data[[#This Row],[Current Price]])/Cleaned_Data[[#This Row],[Old Price]],
""
)</f>
        <v>0.54500000000000004</v>
      </c>
      <c r="R10" s="7" t="str">
        <f>IF( Cleaned_Data[[#This Row],[Discount]] -
 Cleaned_Data[[#This Row],[Calculated Discount]]&gt;2%,
"Check",
"OK"
)</f>
        <v>OK</v>
      </c>
      <c r="S10" t="str">
        <f>IF(OR(Cleaned_Data[[#This Row],[Rating]]&lt;0,Cleaned_Data[[#This Row],[Rating]]&gt;5),"Check rating","OK")</f>
        <v>OK</v>
      </c>
      <c r="T10" t="str">
        <f>IF(OR(Cleaned_Data[[#This Row],[Discount]]&lt;0,Cleaned_Data[[#This Row],[Discount]]&gt;1),"Check discount","OK")</f>
        <v>OK</v>
      </c>
      <c r="U10" t="str">
        <f>IF(Cleaned_Data[[#This Row],[Current Price]]&gt;Cleaned_Data[[#This Row],[Old Price]],"Check prices","OK")</f>
        <v>OK</v>
      </c>
    </row>
    <row r="11" spans="1:21">
      <c r="A11" t="s">
        <v>38</v>
      </c>
      <c r="B11" s="8">
        <v>1600</v>
      </c>
      <c r="C11" s="8">
        <v>2929</v>
      </c>
      <c r="D11" s="7">
        <v>0.45</v>
      </c>
      <c r="E11">
        <v>5</v>
      </c>
      <c r="F11">
        <v>3.8</v>
      </c>
      <c r="G11">
        <f>Cleaned_Data[[#This Row],[Old Price]]-Cleaned_Data[[#This Row],[Current Price]]</f>
        <v>1329</v>
      </c>
      <c r="H11" s="15" t="str">
        <f>IF(Cleaned_Data[[#This Row],[Rating]]="","Missing",IF(Cleaned_Data[[#This Row],[Rating]]&lt;3,"Poor",IF(Cleaned_Data[[#This Row],[Rating]]&lt;=4.5,"Average","Excellent")))</f>
        <v>Average</v>
      </c>
      <c r="I11" s="15" t="str">
        <f>IF(
Cleaned_Data[[#This Row],[Discount]]="",
"Missing",
IF(
Cleaned_Data[[#This Row],[Discount]]&lt;20%,
"Low Discount",
IF(
Cleaned_Data[[#This Row],[Discount]]&lt;=40%,
"Medium Discount",
"High Discount"
)
)
)</f>
        <v>High Discount</v>
      </c>
      <c r="J11" s="15" t="str">
        <f>IF(
Cleaned_Data[[#This Row],[Current Price]]="",
"Missing",
IF(
Cleaned_Data[[#This Row],[Current Price]]&lt;=Analysis!$B$3,
"Low Price",
IF(
Cleaned_Data[[#This Row],[Current Price]]&lt;=Analysis!$B$4,
"Medium Price",
"High Price"
)
)
)</f>
        <v>Medium Price</v>
      </c>
      <c r="K11" s="15" t="str">
        <f>IF(Cleaned_Data[[#This Row],[Review]]="","Missing",IF(Cleaned_Data[[#This Row],[Review]]&gt;=Engagement_Threshold,"Strong Engagement","Weak Engagement"))</f>
        <v>Weak Engagement</v>
      </c>
      <c r="L11" s="15" t="str">
        <f>IF(OR(Cleaned_Data[[#This Row],[Discount]]="",Cleaned_Data[[#This Row],[Rating]]=""),"Missing",IF(AND(Cleaned_Data[[#This Row],[Discount Category]]="High Discount",Cleaned_Data[[#This Row],[Rating Category]]="Poor"),"Flag","OK"))</f>
        <v>OK</v>
      </c>
      <c r="M11" s="15" t="str">
        <f>IF(OR(Cleaned_Data[[#This Row],[Discount]]="",Cleaned_Data[[#This Row],[Review]]=""),"Missing",IF(AND(Cleaned_Data[[#This Row],[Discount Category]]="High Discount",Cleaned_Data[[#This Row],[Engagement]]="Weak Engagement"),"Flag","OK"))</f>
        <v>Flag</v>
      </c>
      <c r="N11" s="15" t="str">
        <f>IF(OR(Cleaned_Data[[#This Row],[Review]]="",Cleaned_Data[[#This Row],[Rating]]=""),"Missing",IF(AND(Cleaned_Data[[#This Row],[Engagement]]="Strong Engagement",Cleaned_Data[[#This Row],[Rating Category]]="Average"),"Flag","OK"))</f>
        <v>OK</v>
      </c>
      <c r="O11" s="15" t="str">
        <f>IF(OR(Cleaned_Data[[#This Row],[Review]]="",Cleaned_Data[[#This Row],[Rating]]=""),"Missing",IF(AND(Cleaned_Data[[#This Row],[Engagement]]="Strong Engagement",Cleaned_Data[[#This Row],[Rating Category]]="Excellent"),"Flag","OK"))</f>
        <v>OK</v>
      </c>
      <c r="P11" s="15" t="str">
        <f>IF(Cleaned_Data[[#This Row],[Rating]]="","Missing Rating","Has Rating")</f>
        <v>Has Rating</v>
      </c>
      <c r="Q11" s="7">
        <f>IFERROR(
(Cleaned_Data[[#This Row],[Old Price]]-Cleaned_Data[[#This Row],[Current Price]])/Cleaned_Data[[#This Row],[Old Price]],
""
)</f>
        <v>0.45373847729600547</v>
      </c>
      <c r="R11" s="7" t="str">
        <f>IF( Cleaned_Data[[#This Row],[Discount]] -
 Cleaned_Data[[#This Row],[Calculated Discount]]&gt;2%,
"Check",
"OK"
)</f>
        <v>OK</v>
      </c>
      <c r="S11" t="str">
        <f>IF(OR(Cleaned_Data[[#This Row],[Rating]]&lt;0,Cleaned_Data[[#This Row],[Rating]]&gt;5),"Check rating","OK")</f>
        <v>OK</v>
      </c>
      <c r="T11" t="str">
        <f>IF(OR(Cleaned_Data[[#This Row],[Discount]]&lt;0,Cleaned_Data[[#This Row],[Discount]]&gt;1),"Check discount","OK")</f>
        <v>OK</v>
      </c>
      <c r="U11" t="str">
        <f>IF(Cleaned_Data[[#This Row],[Current Price]]&gt;Cleaned_Data[[#This Row],[Old Price]],"Check prices","OK")</f>
        <v>OK</v>
      </c>
    </row>
    <row r="12" spans="1:21">
      <c r="A12" t="s">
        <v>42</v>
      </c>
      <c r="B12" s="8">
        <v>799</v>
      </c>
      <c r="C12" s="8">
        <v>999</v>
      </c>
      <c r="D12" s="7">
        <v>0.2</v>
      </c>
      <c r="E12">
        <v>12</v>
      </c>
      <c r="F12">
        <v>4.0999999999999996</v>
      </c>
      <c r="G12">
        <f>Cleaned_Data[[#This Row],[Old Price]]-Cleaned_Data[[#This Row],[Current Price]]</f>
        <v>200</v>
      </c>
      <c r="H12" s="15" t="str">
        <f>IF(Cleaned_Data[[#This Row],[Rating]]="","Missing",IF(Cleaned_Data[[#This Row],[Rating]]&lt;3,"Poor",IF(Cleaned_Data[[#This Row],[Rating]]&lt;=4.5,"Average","Excellent")))</f>
        <v>Average</v>
      </c>
      <c r="I12" s="15" t="str">
        <f>IF(
Cleaned_Data[[#This Row],[Discount]]="",
"Missing",
IF(
Cleaned_Data[[#This Row],[Discount]]&lt;20%,
"Low Discount",
IF(
Cleaned_Data[[#This Row],[Discount]]&lt;=40%,
"Medium Discount",
"High Discount"
)
)
)</f>
        <v>Medium Discount</v>
      </c>
      <c r="J12" s="15" t="str">
        <f>IF(
Cleaned_Data[[#This Row],[Current Price]]="",
"Missing",
IF(
Cleaned_Data[[#This Row],[Current Price]]&lt;=Analysis!$B$3,
"Low Price",
IF(
Cleaned_Data[[#This Row],[Current Price]]&lt;=Analysis!$B$4,
"Medium Price",
"High Price"
)
)
)</f>
        <v>Medium Price</v>
      </c>
      <c r="K12" s="15" t="str">
        <f>IF(Cleaned_Data[[#This Row],[Review]]="","Missing",IF(Cleaned_Data[[#This Row],[Review]]&gt;=Engagement_Threshold,"Strong Engagement","Weak Engagement"))</f>
        <v>Weak Engagement</v>
      </c>
      <c r="L12" s="15" t="str">
        <f>IF(OR(Cleaned_Data[[#This Row],[Discount]]="",Cleaned_Data[[#This Row],[Rating]]=""),"Missing",IF(AND(Cleaned_Data[[#This Row],[Discount Category]]="High Discount",Cleaned_Data[[#This Row],[Rating Category]]="Poor"),"Flag","OK"))</f>
        <v>OK</v>
      </c>
      <c r="M12" s="15" t="str">
        <f>IF(OR(Cleaned_Data[[#This Row],[Discount]]="",Cleaned_Data[[#This Row],[Review]]=""),"Missing",IF(AND(Cleaned_Data[[#This Row],[Discount Category]]="High Discount",Cleaned_Data[[#This Row],[Engagement]]="Weak Engagement"),"Flag","OK"))</f>
        <v>OK</v>
      </c>
      <c r="N12" s="15" t="str">
        <f>IF(OR(Cleaned_Data[[#This Row],[Review]]="",Cleaned_Data[[#This Row],[Rating]]=""),"Missing",IF(AND(Cleaned_Data[[#This Row],[Engagement]]="Strong Engagement",Cleaned_Data[[#This Row],[Rating Category]]="Average"),"Flag","OK"))</f>
        <v>OK</v>
      </c>
      <c r="O12" s="15" t="str">
        <f>IF(OR(Cleaned_Data[[#This Row],[Review]]="",Cleaned_Data[[#This Row],[Rating]]=""),"Missing",IF(AND(Cleaned_Data[[#This Row],[Engagement]]="Strong Engagement",Cleaned_Data[[#This Row],[Rating Category]]="Excellent"),"Flag","OK"))</f>
        <v>OK</v>
      </c>
      <c r="P12" s="15" t="str">
        <f>IF(Cleaned_Data[[#This Row],[Rating]]="","Missing Rating","Has Rating")</f>
        <v>Has Rating</v>
      </c>
      <c r="Q12" s="7">
        <f>IFERROR(
(Cleaned_Data[[#This Row],[Old Price]]-Cleaned_Data[[#This Row],[Current Price]])/Cleaned_Data[[#This Row],[Old Price]],
""
)</f>
        <v>0.20020020020020021</v>
      </c>
      <c r="R12" s="7" t="str">
        <f>IF( Cleaned_Data[[#This Row],[Discount]] -
 Cleaned_Data[[#This Row],[Calculated Discount]]&gt;2%,
"Check",
"OK"
)</f>
        <v>OK</v>
      </c>
      <c r="S12" t="str">
        <f>IF(OR(Cleaned_Data[[#This Row],[Rating]]&lt;0,Cleaned_Data[[#This Row],[Rating]]&gt;5),"Check rating","OK")</f>
        <v>OK</v>
      </c>
      <c r="T12" t="str">
        <f>IF(OR(Cleaned_Data[[#This Row],[Discount]]&lt;0,Cleaned_Data[[#This Row],[Discount]]&gt;1),"Check discount","OK")</f>
        <v>OK</v>
      </c>
      <c r="U12" t="str">
        <f>IF(Cleaned_Data[[#This Row],[Current Price]]&gt;Cleaned_Data[[#This Row],[Old Price]],"Check prices","OK")</f>
        <v>OK</v>
      </c>
    </row>
    <row r="13" spans="1:21">
      <c r="A13" t="s">
        <v>44</v>
      </c>
      <c r="B13" s="8">
        <v>990</v>
      </c>
      <c r="C13" s="8">
        <v>1500</v>
      </c>
      <c r="D13" s="7">
        <v>0.34</v>
      </c>
      <c r="E13">
        <v>39</v>
      </c>
      <c r="F13">
        <v>4.7</v>
      </c>
      <c r="G13">
        <f>Cleaned_Data[[#This Row],[Old Price]]-Cleaned_Data[[#This Row],[Current Price]]</f>
        <v>510</v>
      </c>
      <c r="H13" s="15" t="str">
        <f>IF(Cleaned_Data[[#This Row],[Rating]]="","Missing",IF(Cleaned_Data[[#This Row],[Rating]]&lt;3,"Poor",IF(Cleaned_Data[[#This Row],[Rating]]&lt;=4.5,"Average","Excellent")))</f>
        <v>Excellent</v>
      </c>
      <c r="I13" s="15" t="str">
        <f>IF(
Cleaned_Data[[#This Row],[Discount]]="",
"Missing",
IF(
Cleaned_Data[[#This Row],[Discount]]&lt;20%,
"Low Discount",
IF(
Cleaned_Data[[#This Row],[Discount]]&lt;=40%,
"Medium Discount",
"High Discount"
)
)
)</f>
        <v>Medium Discount</v>
      </c>
      <c r="J13" s="15" t="str">
        <f>IF(
Cleaned_Data[[#This Row],[Current Price]]="",
"Missing",
IF(
Cleaned_Data[[#This Row],[Current Price]]&lt;=Analysis!$B$3,
"Low Price",
IF(
Cleaned_Data[[#This Row],[Current Price]]&lt;=Analysis!$B$4,
"Medium Price",
"High Price"
)
)
)</f>
        <v>Medium Price</v>
      </c>
      <c r="K13" s="15" t="str">
        <f>IF(Cleaned_Data[[#This Row],[Review]]="","Missing",IF(Cleaned_Data[[#This Row],[Review]]&gt;=Engagement_Threshold,"Strong Engagement","Weak Engagement"))</f>
        <v>Strong Engagement</v>
      </c>
      <c r="L13" s="15" t="str">
        <f>IF(OR(Cleaned_Data[[#This Row],[Discount]]="",Cleaned_Data[[#This Row],[Rating]]=""),"Missing",IF(AND(Cleaned_Data[[#This Row],[Discount Category]]="High Discount",Cleaned_Data[[#This Row],[Rating Category]]="Poor"),"Flag","OK"))</f>
        <v>OK</v>
      </c>
      <c r="M13" s="15" t="str">
        <f>IF(OR(Cleaned_Data[[#This Row],[Discount]]="",Cleaned_Data[[#This Row],[Review]]=""),"Missing",IF(AND(Cleaned_Data[[#This Row],[Discount Category]]="High Discount",Cleaned_Data[[#This Row],[Engagement]]="Weak Engagement"),"Flag","OK"))</f>
        <v>OK</v>
      </c>
      <c r="N13" s="15" t="str">
        <f>IF(OR(Cleaned_Data[[#This Row],[Review]]="",Cleaned_Data[[#This Row],[Rating]]=""),"Missing",IF(AND(Cleaned_Data[[#This Row],[Engagement]]="Strong Engagement",Cleaned_Data[[#This Row],[Rating Category]]="Average"),"Flag","OK"))</f>
        <v>OK</v>
      </c>
      <c r="O13" s="15" t="str">
        <f>IF(OR(Cleaned_Data[[#This Row],[Review]]="",Cleaned_Data[[#This Row],[Rating]]=""),"Missing",IF(AND(Cleaned_Data[[#This Row],[Engagement]]="Strong Engagement",Cleaned_Data[[#This Row],[Rating Category]]="Excellent"),"Flag","OK"))</f>
        <v>Flag</v>
      </c>
      <c r="P13" s="15" t="str">
        <f>IF(Cleaned_Data[[#This Row],[Rating]]="","Missing Rating","Has Rating")</f>
        <v>Has Rating</v>
      </c>
      <c r="Q13" s="7">
        <f>IFERROR(
(Cleaned_Data[[#This Row],[Old Price]]-Cleaned_Data[[#This Row],[Current Price]])/Cleaned_Data[[#This Row],[Old Price]],
""
)</f>
        <v>0.34</v>
      </c>
      <c r="R13" s="7" t="str">
        <f>IF( Cleaned_Data[[#This Row],[Discount]] -
 Cleaned_Data[[#This Row],[Calculated Discount]]&gt;2%,
"Check",
"OK"
)</f>
        <v>OK</v>
      </c>
      <c r="S13" t="str">
        <f>IF(OR(Cleaned_Data[[#This Row],[Rating]]&lt;0,Cleaned_Data[[#This Row],[Rating]]&gt;5),"Check rating","OK")</f>
        <v>OK</v>
      </c>
      <c r="T13" t="str">
        <f>IF(OR(Cleaned_Data[[#This Row],[Discount]]&lt;0,Cleaned_Data[[#This Row],[Discount]]&gt;1),"Check discount","OK")</f>
        <v>OK</v>
      </c>
      <c r="U13" t="str">
        <f>IF(Cleaned_Data[[#This Row],[Current Price]]&gt;Cleaned_Data[[#This Row],[Old Price]],"Check prices","OK")</f>
        <v>OK</v>
      </c>
    </row>
    <row r="14" spans="1:21">
      <c r="A14" t="s">
        <v>47</v>
      </c>
      <c r="B14" s="8">
        <v>552</v>
      </c>
      <c r="C14" s="8">
        <v>1035</v>
      </c>
      <c r="D14" s="7">
        <v>0.47</v>
      </c>
      <c r="E14">
        <v>12</v>
      </c>
      <c r="F14">
        <v>4.8</v>
      </c>
      <c r="G14">
        <f>Cleaned_Data[[#This Row],[Old Price]]-Cleaned_Data[[#This Row],[Current Price]]</f>
        <v>483</v>
      </c>
      <c r="H14" s="15" t="str">
        <f>IF(Cleaned_Data[[#This Row],[Rating]]="","Missing",IF(Cleaned_Data[[#This Row],[Rating]]&lt;3,"Poor",IF(Cleaned_Data[[#This Row],[Rating]]&lt;=4.5,"Average","Excellent")))</f>
        <v>Excellent</v>
      </c>
      <c r="I14" s="15" t="str">
        <f>IF(
Cleaned_Data[[#This Row],[Discount]]="",
"Missing",
IF(
Cleaned_Data[[#This Row],[Discount]]&lt;20%,
"Low Discount",
IF(
Cleaned_Data[[#This Row],[Discount]]&lt;=40%,
"Medium Discount",
"High Discount"
)
)
)</f>
        <v>High Discount</v>
      </c>
      <c r="J14" s="15" t="str">
        <f>IF(
Cleaned_Data[[#This Row],[Current Price]]="",
"Missing",
IF(
Cleaned_Data[[#This Row],[Current Price]]&lt;=Analysis!$B$3,
"Low Price",
IF(
Cleaned_Data[[#This Row],[Current Price]]&lt;=Analysis!$B$4,
"Medium Price",
"High Price"
)
)
)</f>
        <v>Medium Price</v>
      </c>
      <c r="K14" s="15" t="str">
        <f>IF(Cleaned_Data[[#This Row],[Review]]="","Missing",IF(Cleaned_Data[[#This Row],[Review]]&gt;=Engagement_Threshold,"Strong Engagement","Weak Engagement"))</f>
        <v>Weak Engagement</v>
      </c>
      <c r="L14" s="15" t="str">
        <f>IF(OR(Cleaned_Data[[#This Row],[Discount]]="",Cleaned_Data[[#This Row],[Rating]]=""),"Missing",IF(AND(Cleaned_Data[[#This Row],[Discount Category]]="High Discount",Cleaned_Data[[#This Row],[Rating Category]]="Poor"),"Flag","OK"))</f>
        <v>OK</v>
      </c>
      <c r="M14" s="15" t="str">
        <f>IF(OR(Cleaned_Data[[#This Row],[Discount]]="",Cleaned_Data[[#This Row],[Review]]=""),"Missing",IF(AND(Cleaned_Data[[#This Row],[Discount Category]]="High Discount",Cleaned_Data[[#This Row],[Engagement]]="Weak Engagement"),"Flag","OK"))</f>
        <v>Flag</v>
      </c>
      <c r="N14" s="15" t="str">
        <f>IF(OR(Cleaned_Data[[#This Row],[Review]]="",Cleaned_Data[[#This Row],[Rating]]=""),"Missing",IF(AND(Cleaned_Data[[#This Row],[Engagement]]="Strong Engagement",Cleaned_Data[[#This Row],[Rating Category]]="Average"),"Flag","OK"))</f>
        <v>OK</v>
      </c>
      <c r="O14" s="15" t="str">
        <f>IF(OR(Cleaned_Data[[#This Row],[Review]]="",Cleaned_Data[[#This Row],[Rating]]=""),"Missing",IF(AND(Cleaned_Data[[#This Row],[Engagement]]="Strong Engagement",Cleaned_Data[[#This Row],[Rating Category]]="Excellent"),"Flag","OK"))</f>
        <v>OK</v>
      </c>
      <c r="P14" s="15" t="str">
        <f>IF(Cleaned_Data[[#This Row],[Rating]]="","Missing Rating","Has Rating")</f>
        <v>Has Rating</v>
      </c>
      <c r="Q14" s="7">
        <f>IFERROR(
(Cleaned_Data[[#This Row],[Old Price]]-Cleaned_Data[[#This Row],[Current Price]])/Cleaned_Data[[#This Row],[Old Price]],
""
)</f>
        <v>0.46666666666666667</v>
      </c>
      <c r="R14" s="7" t="str">
        <f>IF( Cleaned_Data[[#This Row],[Discount]] -
 Cleaned_Data[[#This Row],[Calculated Discount]]&gt;2%,
"Check",
"OK"
)</f>
        <v>OK</v>
      </c>
      <c r="S14" t="str">
        <f>IF(OR(Cleaned_Data[[#This Row],[Rating]]&lt;0,Cleaned_Data[[#This Row],[Rating]]&gt;5),"Check rating","OK")</f>
        <v>OK</v>
      </c>
      <c r="T14" t="str">
        <f>IF(OR(Cleaned_Data[[#This Row],[Discount]]&lt;0,Cleaned_Data[[#This Row],[Discount]]&gt;1),"Check discount","OK")</f>
        <v>OK</v>
      </c>
      <c r="U14" t="str">
        <f>IF(Cleaned_Data[[#This Row],[Current Price]]&gt;Cleaned_Data[[#This Row],[Old Price]],"Check prices","OK")</f>
        <v>OK</v>
      </c>
    </row>
    <row r="15" spans="1:21">
      <c r="A15" t="s">
        <v>50</v>
      </c>
      <c r="B15" s="8">
        <v>501</v>
      </c>
      <c r="C15" s="8">
        <v>860</v>
      </c>
      <c r="D15" s="7">
        <v>0.42</v>
      </c>
      <c r="E15">
        <v>6</v>
      </c>
      <c r="F15">
        <v>4.5</v>
      </c>
      <c r="G15">
        <f>Cleaned_Data[[#This Row],[Old Price]]-Cleaned_Data[[#This Row],[Current Price]]</f>
        <v>359</v>
      </c>
      <c r="H15" s="15" t="str">
        <f>IF(Cleaned_Data[[#This Row],[Rating]]="","Missing",IF(Cleaned_Data[[#This Row],[Rating]]&lt;3,"Poor",IF(Cleaned_Data[[#This Row],[Rating]]&lt;=4.5,"Average","Excellent")))</f>
        <v>Average</v>
      </c>
      <c r="I15" s="15" t="str">
        <f>IF(
Cleaned_Data[[#This Row],[Discount]]="",
"Missing",
IF(
Cleaned_Data[[#This Row],[Discount]]&lt;20%,
"Low Discount",
IF(
Cleaned_Data[[#This Row],[Discount]]&lt;=40%,
"Medium Discount",
"High Discount"
)
)
)</f>
        <v>High Discount</v>
      </c>
      <c r="J15" s="15" t="str">
        <f>IF(
Cleaned_Data[[#This Row],[Current Price]]="",
"Missing",
IF(
Cleaned_Data[[#This Row],[Current Price]]&lt;=Analysis!$B$3,
"Low Price",
IF(
Cleaned_Data[[#This Row],[Current Price]]&lt;=Analysis!$B$4,
"Medium Price",
"High Price"
)
)
)</f>
        <v>Medium Price</v>
      </c>
      <c r="K15" s="15" t="str">
        <f>IF(Cleaned_Data[[#This Row],[Review]]="","Missing",IF(Cleaned_Data[[#This Row],[Review]]&gt;=Engagement_Threshold,"Strong Engagement","Weak Engagement"))</f>
        <v>Weak Engagement</v>
      </c>
      <c r="L15" s="15" t="str">
        <f>IF(OR(Cleaned_Data[[#This Row],[Discount]]="",Cleaned_Data[[#This Row],[Rating]]=""),"Missing",IF(AND(Cleaned_Data[[#This Row],[Discount Category]]="High Discount",Cleaned_Data[[#This Row],[Rating Category]]="Poor"),"Flag","OK"))</f>
        <v>OK</v>
      </c>
      <c r="M15" s="15" t="str">
        <f>IF(OR(Cleaned_Data[[#This Row],[Discount]]="",Cleaned_Data[[#This Row],[Review]]=""),"Missing",IF(AND(Cleaned_Data[[#This Row],[Discount Category]]="High Discount",Cleaned_Data[[#This Row],[Engagement]]="Weak Engagement"),"Flag","OK"))</f>
        <v>Flag</v>
      </c>
      <c r="N15" s="15" t="str">
        <f>IF(OR(Cleaned_Data[[#This Row],[Review]]="",Cleaned_Data[[#This Row],[Rating]]=""),"Missing",IF(AND(Cleaned_Data[[#This Row],[Engagement]]="Strong Engagement",Cleaned_Data[[#This Row],[Rating Category]]="Average"),"Flag","OK"))</f>
        <v>OK</v>
      </c>
      <c r="O15" s="15" t="str">
        <f>IF(OR(Cleaned_Data[[#This Row],[Review]]="",Cleaned_Data[[#This Row],[Rating]]=""),"Missing",IF(AND(Cleaned_Data[[#This Row],[Engagement]]="Strong Engagement",Cleaned_Data[[#This Row],[Rating Category]]="Excellent"),"Flag","OK"))</f>
        <v>OK</v>
      </c>
      <c r="P15" s="15" t="str">
        <f>IF(Cleaned_Data[[#This Row],[Rating]]="","Missing Rating","Has Rating")</f>
        <v>Has Rating</v>
      </c>
      <c r="Q15" s="7">
        <f>IFERROR(
(Cleaned_Data[[#This Row],[Old Price]]-Cleaned_Data[[#This Row],[Current Price]])/Cleaned_Data[[#This Row],[Old Price]],
""
)</f>
        <v>0.41744186046511628</v>
      </c>
      <c r="R15" s="7" t="str">
        <f>IF( Cleaned_Data[[#This Row],[Discount]] -
 Cleaned_Data[[#This Row],[Calculated Discount]]&gt;2%,
"Check",
"OK"
)</f>
        <v>OK</v>
      </c>
      <c r="S15" t="str">
        <f>IF(OR(Cleaned_Data[[#This Row],[Rating]]&lt;0,Cleaned_Data[[#This Row],[Rating]]&gt;5),"Check rating","OK")</f>
        <v>OK</v>
      </c>
      <c r="T15" t="str">
        <f>IF(OR(Cleaned_Data[[#This Row],[Discount]]&lt;0,Cleaned_Data[[#This Row],[Discount]]&gt;1),"Check discount","OK")</f>
        <v>OK</v>
      </c>
      <c r="U15" t="str">
        <f>IF(Cleaned_Data[[#This Row],[Current Price]]&gt;Cleaned_Data[[#This Row],[Old Price]],"Check prices","OK")</f>
        <v>OK</v>
      </c>
    </row>
    <row r="16" spans="1:21">
      <c r="A16" t="s">
        <v>53</v>
      </c>
      <c r="B16" s="8">
        <v>1680</v>
      </c>
      <c r="C16" s="8">
        <v>2499</v>
      </c>
      <c r="D16" s="7">
        <v>0.33</v>
      </c>
      <c r="E16">
        <v>9</v>
      </c>
      <c r="F16">
        <v>4.2</v>
      </c>
      <c r="G16">
        <f>Cleaned_Data[[#This Row],[Old Price]]-Cleaned_Data[[#This Row],[Current Price]]</f>
        <v>819</v>
      </c>
      <c r="H16" s="15" t="str">
        <f>IF(Cleaned_Data[[#This Row],[Rating]]="","Missing",IF(Cleaned_Data[[#This Row],[Rating]]&lt;3,"Poor",IF(Cleaned_Data[[#This Row],[Rating]]&lt;=4.5,"Average","Excellent")))</f>
        <v>Average</v>
      </c>
      <c r="I16" s="15" t="str">
        <f>IF(
Cleaned_Data[[#This Row],[Discount]]="",
"Missing",
IF(
Cleaned_Data[[#This Row],[Discount]]&lt;20%,
"Low Discount",
IF(
Cleaned_Data[[#This Row],[Discount]]&lt;=40%,
"Medium Discount",
"High Discount"
)
)
)</f>
        <v>Medium Discount</v>
      </c>
      <c r="J16" s="15" t="str">
        <f>IF(
Cleaned_Data[[#This Row],[Current Price]]="",
"Missing",
IF(
Cleaned_Data[[#This Row],[Current Price]]&lt;=Analysis!$B$3,
"Low Price",
IF(
Cleaned_Data[[#This Row],[Current Price]]&lt;=Analysis!$B$4,
"Medium Price",
"High Price"
)
)
)</f>
        <v>High Price</v>
      </c>
      <c r="K16" s="15" t="str">
        <f>IF(Cleaned_Data[[#This Row],[Review]]="","Missing",IF(Cleaned_Data[[#This Row],[Review]]&gt;=Engagement_Threshold,"Strong Engagement","Weak Engagement"))</f>
        <v>Weak Engagement</v>
      </c>
      <c r="L16" s="15" t="str">
        <f>IF(OR(Cleaned_Data[[#This Row],[Discount]]="",Cleaned_Data[[#This Row],[Rating]]=""),"Missing",IF(AND(Cleaned_Data[[#This Row],[Discount Category]]="High Discount",Cleaned_Data[[#This Row],[Rating Category]]="Poor"),"Flag","OK"))</f>
        <v>OK</v>
      </c>
      <c r="M16" s="15" t="str">
        <f>IF(OR(Cleaned_Data[[#This Row],[Discount]]="",Cleaned_Data[[#This Row],[Review]]=""),"Missing",IF(AND(Cleaned_Data[[#This Row],[Discount Category]]="High Discount",Cleaned_Data[[#This Row],[Engagement]]="Weak Engagement"),"Flag","OK"))</f>
        <v>OK</v>
      </c>
      <c r="N16" s="15" t="str">
        <f>IF(OR(Cleaned_Data[[#This Row],[Review]]="",Cleaned_Data[[#This Row],[Rating]]=""),"Missing",IF(AND(Cleaned_Data[[#This Row],[Engagement]]="Strong Engagement",Cleaned_Data[[#This Row],[Rating Category]]="Average"),"Flag","OK"))</f>
        <v>OK</v>
      </c>
      <c r="O16" s="15" t="str">
        <f>IF(OR(Cleaned_Data[[#This Row],[Review]]="",Cleaned_Data[[#This Row],[Rating]]=""),"Missing",IF(AND(Cleaned_Data[[#This Row],[Engagement]]="Strong Engagement",Cleaned_Data[[#This Row],[Rating Category]]="Excellent"),"Flag","OK"))</f>
        <v>OK</v>
      </c>
      <c r="P16" s="15" t="str">
        <f>IF(Cleaned_Data[[#This Row],[Rating]]="","Missing Rating","Has Rating")</f>
        <v>Has Rating</v>
      </c>
      <c r="Q16" s="7">
        <f>IFERROR(
(Cleaned_Data[[#This Row],[Old Price]]-Cleaned_Data[[#This Row],[Current Price]])/Cleaned_Data[[#This Row],[Old Price]],
""
)</f>
        <v>0.32773109243697479</v>
      </c>
      <c r="R16" s="7" t="str">
        <f>IF( Cleaned_Data[[#This Row],[Discount]] -
 Cleaned_Data[[#This Row],[Calculated Discount]]&gt;2%,
"Check",
"OK"
)</f>
        <v>OK</v>
      </c>
      <c r="S16" t="str">
        <f>IF(OR(Cleaned_Data[[#This Row],[Rating]]&lt;0,Cleaned_Data[[#This Row],[Rating]]&gt;5),"Check rating","OK")</f>
        <v>OK</v>
      </c>
      <c r="T16" t="str">
        <f>IF(OR(Cleaned_Data[[#This Row],[Discount]]&lt;0,Cleaned_Data[[#This Row],[Discount]]&gt;1),"Check discount","OK")</f>
        <v>OK</v>
      </c>
      <c r="U16" t="str">
        <f>IF(Cleaned_Data[[#This Row],[Current Price]]&gt;Cleaned_Data[[#This Row],[Old Price]],"Check prices","OK")</f>
        <v>OK</v>
      </c>
    </row>
    <row r="17" spans="1:21">
      <c r="A17" t="s">
        <v>56</v>
      </c>
      <c r="B17" s="8">
        <v>332</v>
      </c>
      <c r="C17" s="8">
        <v>684</v>
      </c>
      <c r="D17" s="7">
        <v>0.51</v>
      </c>
      <c r="E17">
        <v>2</v>
      </c>
      <c r="F17">
        <v>5</v>
      </c>
      <c r="G17">
        <f>Cleaned_Data[[#This Row],[Old Price]]-Cleaned_Data[[#This Row],[Current Price]]</f>
        <v>352</v>
      </c>
      <c r="H17" s="15" t="str">
        <f>IF(Cleaned_Data[[#This Row],[Rating]]="","Missing",IF(Cleaned_Data[[#This Row],[Rating]]&lt;3,"Poor",IF(Cleaned_Data[[#This Row],[Rating]]&lt;=4.5,"Average","Excellent")))</f>
        <v>Excellent</v>
      </c>
      <c r="I17" s="15" t="str">
        <f>IF(
Cleaned_Data[[#This Row],[Discount]]="",
"Missing",
IF(
Cleaned_Data[[#This Row],[Discount]]&lt;20%,
"Low Discount",
IF(
Cleaned_Data[[#This Row],[Discount]]&lt;=40%,
"Medium Discount",
"High Discount"
)
)
)</f>
        <v>High Discount</v>
      </c>
      <c r="J17" s="15" t="str">
        <f>IF(
Cleaned_Data[[#This Row],[Current Price]]="",
"Missing",
IF(
Cleaned_Data[[#This Row],[Current Price]]&lt;=Analysis!$B$3,
"Low Price",
IF(
Cleaned_Data[[#This Row],[Current Price]]&lt;=Analysis!$B$4,
"Medium Price",
"High Price"
)
)
)</f>
        <v>Low Price</v>
      </c>
      <c r="K17" s="15" t="str">
        <f>IF(Cleaned_Data[[#This Row],[Review]]="","Missing",IF(Cleaned_Data[[#This Row],[Review]]&gt;=Engagement_Threshold,"Strong Engagement","Weak Engagement"))</f>
        <v>Weak Engagement</v>
      </c>
      <c r="L17" s="15" t="str">
        <f>IF(OR(Cleaned_Data[[#This Row],[Discount]]="",Cleaned_Data[[#This Row],[Rating]]=""),"Missing",IF(AND(Cleaned_Data[[#This Row],[Discount Category]]="High Discount",Cleaned_Data[[#This Row],[Rating Category]]="Poor"),"Flag","OK"))</f>
        <v>OK</v>
      </c>
      <c r="M17" s="15" t="str">
        <f>IF(OR(Cleaned_Data[[#This Row],[Discount]]="",Cleaned_Data[[#This Row],[Review]]=""),"Missing",IF(AND(Cleaned_Data[[#This Row],[Discount Category]]="High Discount",Cleaned_Data[[#This Row],[Engagement]]="Weak Engagement"),"Flag","OK"))</f>
        <v>Flag</v>
      </c>
      <c r="N17" s="15" t="str">
        <f>IF(OR(Cleaned_Data[[#This Row],[Review]]="",Cleaned_Data[[#This Row],[Rating]]=""),"Missing",IF(AND(Cleaned_Data[[#This Row],[Engagement]]="Strong Engagement",Cleaned_Data[[#This Row],[Rating Category]]="Average"),"Flag","OK"))</f>
        <v>OK</v>
      </c>
      <c r="O17" s="15" t="str">
        <f>IF(OR(Cleaned_Data[[#This Row],[Review]]="",Cleaned_Data[[#This Row],[Rating]]=""),"Missing",IF(AND(Cleaned_Data[[#This Row],[Engagement]]="Strong Engagement",Cleaned_Data[[#This Row],[Rating Category]]="Excellent"),"Flag","OK"))</f>
        <v>OK</v>
      </c>
      <c r="P17" s="15" t="str">
        <f>IF(Cleaned_Data[[#This Row],[Rating]]="","Missing Rating","Has Rating")</f>
        <v>Has Rating</v>
      </c>
      <c r="Q17" s="7">
        <f>IFERROR(
(Cleaned_Data[[#This Row],[Old Price]]-Cleaned_Data[[#This Row],[Current Price]])/Cleaned_Data[[#This Row],[Old Price]],
""
)</f>
        <v>0.51461988304093564</v>
      </c>
      <c r="R17" s="7" t="str">
        <f>IF( Cleaned_Data[[#This Row],[Discount]] -
 Cleaned_Data[[#This Row],[Calculated Discount]]&gt;2%,
"Check",
"OK"
)</f>
        <v>OK</v>
      </c>
      <c r="S17" t="str">
        <f>IF(OR(Cleaned_Data[[#This Row],[Rating]]&lt;0,Cleaned_Data[[#This Row],[Rating]]&gt;5),"Check rating","OK")</f>
        <v>OK</v>
      </c>
      <c r="T17" t="str">
        <f>IF(OR(Cleaned_Data[[#This Row],[Discount]]&lt;0,Cleaned_Data[[#This Row],[Discount]]&gt;1),"Check discount","OK")</f>
        <v>OK</v>
      </c>
      <c r="U17" t="str">
        <f>IF(Cleaned_Data[[#This Row],[Current Price]]&gt;Cleaned_Data[[#This Row],[Old Price]],"Check prices","OK")</f>
        <v>OK</v>
      </c>
    </row>
    <row r="18" spans="1:21">
      <c r="A18" t="s">
        <v>60</v>
      </c>
      <c r="B18" s="8">
        <v>195</v>
      </c>
      <c r="C18" s="8">
        <v>360</v>
      </c>
      <c r="D18" s="7">
        <v>0.46</v>
      </c>
      <c r="E18">
        <v>2</v>
      </c>
      <c r="F18">
        <v>5</v>
      </c>
      <c r="G18">
        <f>Cleaned_Data[[#This Row],[Old Price]]-Cleaned_Data[[#This Row],[Current Price]]</f>
        <v>165</v>
      </c>
      <c r="H18" s="15" t="str">
        <f>IF(Cleaned_Data[[#This Row],[Rating]]="","Missing",IF(Cleaned_Data[[#This Row],[Rating]]&lt;3,"Poor",IF(Cleaned_Data[[#This Row],[Rating]]&lt;=4.5,"Average","Excellent")))</f>
        <v>Excellent</v>
      </c>
      <c r="I18" s="15" t="str">
        <f>IF(
Cleaned_Data[[#This Row],[Discount]]="",
"Missing",
IF(
Cleaned_Data[[#This Row],[Discount]]&lt;20%,
"Low Discount",
IF(
Cleaned_Data[[#This Row],[Discount]]&lt;=40%,
"Medium Discount",
"High Discount"
)
)
)</f>
        <v>High Discount</v>
      </c>
      <c r="J18" s="15" t="str">
        <f>IF(
Cleaned_Data[[#This Row],[Current Price]]="",
"Missing",
IF(
Cleaned_Data[[#This Row],[Current Price]]&lt;=Analysis!$B$3,
"Low Price",
IF(
Cleaned_Data[[#This Row],[Current Price]]&lt;=Analysis!$B$4,
"Medium Price",
"High Price"
)
)
)</f>
        <v>Low Price</v>
      </c>
      <c r="K18" s="15" t="str">
        <f>IF(Cleaned_Data[[#This Row],[Review]]="","Missing",IF(Cleaned_Data[[#This Row],[Review]]&gt;=Engagement_Threshold,"Strong Engagement","Weak Engagement"))</f>
        <v>Weak Engagement</v>
      </c>
      <c r="L18" s="15" t="str">
        <f>IF(OR(Cleaned_Data[[#This Row],[Discount]]="",Cleaned_Data[[#This Row],[Rating]]=""),"Missing",IF(AND(Cleaned_Data[[#This Row],[Discount Category]]="High Discount",Cleaned_Data[[#This Row],[Rating Category]]="Poor"),"Flag","OK"))</f>
        <v>OK</v>
      </c>
      <c r="M18" s="15" t="str">
        <f>IF(OR(Cleaned_Data[[#This Row],[Discount]]="",Cleaned_Data[[#This Row],[Review]]=""),"Missing",IF(AND(Cleaned_Data[[#This Row],[Discount Category]]="High Discount",Cleaned_Data[[#This Row],[Engagement]]="Weak Engagement"),"Flag","OK"))</f>
        <v>Flag</v>
      </c>
      <c r="N18" s="15" t="str">
        <f>IF(OR(Cleaned_Data[[#This Row],[Review]]="",Cleaned_Data[[#This Row],[Rating]]=""),"Missing",IF(AND(Cleaned_Data[[#This Row],[Engagement]]="Strong Engagement",Cleaned_Data[[#This Row],[Rating Category]]="Average"),"Flag","OK"))</f>
        <v>OK</v>
      </c>
      <c r="O18" s="15" t="str">
        <f>IF(OR(Cleaned_Data[[#This Row],[Review]]="",Cleaned_Data[[#This Row],[Rating]]=""),"Missing",IF(AND(Cleaned_Data[[#This Row],[Engagement]]="Strong Engagement",Cleaned_Data[[#This Row],[Rating Category]]="Excellent"),"Flag","OK"))</f>
        <v>OK</v>
      </c>
      <c r="P18" s="15" t="str">
        <f>IF(Cleaned_Data[[#This Row],[Rating]]="","Missing Rating","Has Rating")</f>
        <v>Has Rating</v>
      </c>
      <c r="Q18" s="7">
        <f>IFERROR(
(Cleaned_Data[[#This Row],[Old Price]]-Cleaned_Data[[#This Row],[Current Price]])/Cleaned_Data[[#This Row],[Old Price]],
""
)</f>
        <v>0.45833333333333331</v>
      </c>
      <c r="R18" s="7" t="str">
        <f>IF( Cleaned_Data[[#This Row],[Discount]] -
 Cleaned_Data[[#This Row],[Calculated Discount]]&gt;2%,
"Check",
"OK"
)</f>
        <v>OK</v>
      </c>
      <c r="S18" t="str">
        <f>IF(OR(Cleaned_Data[[#This Row],[Rating]]&lt;0,Cleaned_Data[[#This Row],[Rating]]&gt;5),"Check rating","OK")</f>
        <v>OK</v>
      </c>
      <c r="T18" t="str">
        <f>IF(OR(Cleaned_Data[[#This Row],[Discount]]&lt;0,Cleaned_Data[[#This Row],[Discount]]&gt;1),"Check discount","OK")</f>
        <v>OK</v>
      </c>
      <c r="U18" t="str">
        <f>IF(Cleaned_Data[[#This Row],[Current Price]]&gt;Cleaned_Data[[#This Row],[Old Price]],"Check prices","OK")</f>
        <v>OK</v>
      </c>
    </row>
    <row r="19" spans="1:21">
      <c r="A19" t="s">
        <v>63</v>
      </c>
      <c r="B19" s="8">
        <v>2025</v>
      </c>
      <c r="C19" s="8">
        <v>3971</v>
      </c>
      <c r="D19" s="7">
        <v>0.49</v>
      </c>
      <c r="E19">
        <v>3</v>
      </c>
      <c r="F19">
        <v>5</v>
      </c>
      <c r="G19">
        <f>Cleaned_Data[[#This Row],[Old Price]]-Cleaned_Data[[#This Row],[Current Price]]</f>
        <v>1946</v>
      </c>
      <c r="H19" s="15" t="str">
        <f>IF(Cleaned_Data[[#This Row],[Rating]]="","Missing",IF(Cleaned_Data[[#This Row],[Rating]]&lt;3,"Poor",IF(Cleaned_Data[[#This Row],[Rating]]&lt;=4.5,"Average","Excellent")))</f>
        <v>Excellent</v>
      </c>
      <c r="I19" s="15" t="str">
        <f>IF(
Cleaned_Data[[#This Row],[Discount]]="",
"Missing",
IF(
Cleaned_Data[[#This Row],[Discount]]&lt;20%,
"Low Discount",
IF(
Cleaned_Data[[#This Row],[Discount]]&lt;=40%,
"Medium Discount",
"High Discount"
)
)
)</f>
        <v>High Discount</v>
      </c>
      <c r="J19" s="15" t="str">
        <f>IF(
Cleaned_Data[[#This Row],[Current Price]]="",
"Missing",
IF(
Cleaned_Data[[#This Row],[Current Price]]&lt;=Analysis!$B$3,
"Low Price",
IF(
Cleaned_Data[[#This Row],[Current Price]]&lt;=Analysis!$B$4,
"Medium Price",
"High Price"
)
)
)</f>
        <v>High Price</v>
      </c>
      <c r="K19" s="15" t="str">
        <f>IF(Cleaned_Data[[#This Row],[Review]]="","Missing",IF(Cleaned_Data[[#This Row],[Review]]&gt;=Engagement_Threshold,"Strong Engagement","Weak Engagement"))</f>
        <v>Weak Engagement</v>
      </c>
      <c r="L19" s="15" t="str">
        <f>IF(OR(Cleaned_Data[[#This Row],[Discount]]="",Cleaned_Data[[#This Row],[Rating]]=""),"Missing",IF(AND(Cleaned_Data[[#This Row],[Discount Category]]="High Discount",Cleaned_Data[[#This Row],[Rating Category]]="Poor"),"Flag","OK"))</f>
        <v>OK</v>
      </c>
      <c r="M19" s="15" t="str">
        <f>IF(OR(Cleaned_Data[[#This Row],[Discount]]="",Cleaned_Data[[#This Row],[Review]]=""),"Missing",IF(AND(Cleaned_Data[[#This Row],[Discount Category]]="High Discount",Cleaned_Data[[#This Row],[Engagement]]="Weak Engagement"),"Flag","OK"))</f>
        <v>Flag</v>
      </c>
      <c r="N19" s="15" t="str">
        <f>IF(OR(Cleaned_Data[[#This Row],[Review]]="",Cleaned_Data[[#This Row],[Rating]]=""),"Missing",IF(AND(Cleaned_Data[[#This Row],[Engagement]]="Strong Engagement",Cleaned_Data[[#This Row],[Rating Category]]="Average"),"Flag","OK"))</f>
        <v>OK</v>
      </c>
      <c r="O19" s="15" t="str">
        <f>IF(OR(Cleaned_Data[[#This Row],[Review]]="",Cleaned_Data[[#This Row],[Rating]]=""),"Missing",IF(AND(Cleaned_Data[[#This Row],[Engagement]]="Strong Engagement",Cleaned_Data[[#This Row],[Rating Category]]="Excellent"),"Flag","OK"))</f>
        <v>OK</v>
      </c>
      <c r="P19" s="15" t="str">
        <f>IF(Cleaned_Data[[#This Row],[Rating]]="","Missing Rating","Has Rating")</f>
        <v>Has Rating</v>
      </c>
      <c r="Q19" s="7">
        <f>IFERROR(
(Cleaned_Data[[#This Row],[Old Price]]-Cleaned_Data[[#This Row],[Current Price]])/Cleaned_Data[[#This Row],[Old Price]],
""
)</f>
        <v>0.49005288340468395</v>
      </c>
      <c r="R19" s="7" t="str">
        <f>IF( Cleaned_Data[[#This Row],[Discount]] -
 Cleaned_Data[[#This Row],[Calculated Discount]]&gt;2%,
"Check",
"OK"
)</f>
        <v>OK</v>
      </c>
      <c r="S19" t="str">
        <f>IF(OR(Cleaned_Data[[#This Row],[Rating]]&lt;0,Cleaned_Data[[#This Row],[Rating]]&gt;5),"Check rating","OK")</f>
        <v>OK</v>
      </c>
      <c r="T19" t="str">
        <f>IF(OR(Cleaned_Data[[#This Row],[Discount]]&lt;0,Cleaned_Data[[#This Row],[Discount]]&gt;1),"Check discount","OK")</f>
        <v>OK</v>
      </c>
      <c r="U19" t="str">
        <f>IF(Cleaned_Data[[#This Row],[Current Price]]&gt;Cleaned_Data[[#This Row],[Old Price]],"Check prices","OK")</f>
        <v>OK</v>
      </c>
    </row>
    <row r="20" spans="1:21">
      <c r="A20" t="s">
        <v>66</v>
      </c>
      <c r="B20" s="8">
        <v>2999</v>
      </c>
      <c r="C20" s="8">
        <v>3699</v>
      </c>
      <c r="D20" s="7">
        <v>0.19</v>
      </c>
      <c r="E20">
        <v>5</v>
      </c>
      <c r="F20">
        <v>4.5999999999999996</v>
      </c>
      <c r="G20">
        <f>Cleaned_Data[[#This Row],[Old Price]]-Cleaned_Data[[#This Row],[Current Price]]</f>
        <v>700</v>
      </c>
      <c r="H20" s="15" t="str">
        <f>IF(Cleaned_Data[[#This Row],[Rating]]="","Missing",IF(Cleaned_Data[[#This Row],[Rating]]&lt;3,"Poor",IF(Cleaned_Data[[#This Row],[Rating]]&lt;=4.5,"Average","Excellent")))</f>
        <v>Excellent</v>
      </c>
      <c r="I20" s="15" t="str">
        <f>IF(
Cleaned_Data[[#This Row],[Discount]]="",
"Missing",
IF(
Cleaned_Data[[#This Row],[Discount]]&lt;20%,
"Low Discount",
IF(
Cleaned_Data[[#This Row],[Discount]]&lt;=40%,
"Medium Discount",
"High Discount"
)
)
)</f>
        <v>Low Discount</v>
      </c>
      <c r="J20" s="15" t="str">
        <f>IF(
Cleaned_Data[[#This Row],[Current Price]]="",
"Missing",
IF(
Cleaned_Data[[#This Row],[Current Price]]&lt;=Analysis!$B$3,
"Low Price",
IF(
Cleaned_Data[[#This Row],[Current Price]]&lt;=Analysis!$B$4,
"Medium Price",
"High Price"
)
)
)</f>
        <v>High Price</v>
      </c>
      <c r="K20" s="15" t="str">
        <f>IF(Cleaned_Data[[#This Row],[Review]]="","Missing",IF(Cleaned_Data[[#This Row],[Review]]&gt;=Engagement_Threshold,"Strong Engagement","Weak Engagement"))</f>
        <v>Weak Engagement</v>
      </c>
      <c r="L20" s="15" t="str">
        <f>IF(OR(Cleaned_Data[[#This Row],[Discount]]="",Cleaned_Data[[#This Row],[Rating]]=""),"Missing",IF(AND(Cleaned_Data[[#This Row],[Discount Category]]="High Discount",Cleaned_Data[[#This Row],[Rating Category]]="Poor"),"Flag","OK"))</f>
        <v>OK</v>
      </c>
      <c r="M20" s="15" t="str">
        <f>IF(OR(Cleaned_Data[[#This Row],[Discount]]="",Cleaned_Data[[#This Row],[Review]]=""),"Missing",IF(AND(Cleaned_Data[[#This Row],[Discount Category]]="High Discount",Cleaned_Data[[#This Row],[Engagement]]="Weak Engagement"),"Flag","OK"))</f>
        <v>OK</v>
      </c>
      <c r="N20" s="15" t="str">
        <f>IF(OR(Cleaned_Data[[#This Row],[Review]]="",Cleaned_Data[[#This Row],[Rating]]=""),"Missing",IF(AND(Cleaned_Data[[#This Row],[Engagement]]="Strong Engagement",Cleaned_Data[[#This Row],[Rating Category]]="Average"),"Flag","OK"))</f>
        <v>OK</v>
      </c>
      <c r="O20" s="15" t="str">
        <f>IF(OR(Cleaned_Data[[#This Row],[Review]]="",Cleaned_Data[[#This Row],[Rating]]=""),"Missing",IF(AND(Cleaned_Data[[#This Row],[Engagement]]="Strong Engagement",Cleaned_Data[[#This Row],[Rating Category]]="Excellent"),"Flag","OK"))</f>
        <v>OK</v>
      </c>
      <c r="P20" s="15" t="str">
        <f>IF(Cleaned_Data[[#This Row],[Rating]]="","Missing Rating","Has Rating")</f>
        <v>Has Rating</v>
      </c>
      <c r="Q20" s="7">
        <f>IFERROR(
(Cleaned_Data[[#This Row],[Old Price]]-Cleaned_Data[[#This Row],[Current Price]])/Cleaned_Data[[#This Row],[Old Price]],
""
)</f>
        <v>0.18924033522573669</v>
      </c>
      <c r="R20" s="7" t="str">
        <f>IF( Cleaned_Data[[#This Row],[Discount]] -
 Cleaned_Data[[#This Row],[Calculated Discount]]&gt;2%,
"Check",
"OK"
)</f>
        <v>OK</v>
      </c>
      <c r="S20" t="str">
        <f>IF(OR(Cleaned_Data[[#This Row],[Rating]]&lt;0,Cleaned_Data[[#This Row],[Rating]]&gt;5),"Check rating","OK")</f>
        <v>OK</v>
      </c>
      <c r="T20" t="str">
        <f>IF(OR(Cleaned_Data[[#This Row],[Discount]]&lt;0,Cleaned_Data[[#This Row],[Discount]]&gt;1),"Check discount","OK")</f>
        <v>OK</v>
      </c>
      <c r="U20" t="str">
        <f>IF(Cleaned_Data[[#This Row],[Current Price]]&gt;Cleaned_Data[[#This Row],[Old Price]],"Check prices","OK")</f>
        <v>OK</v>
      </c>
    </row>
    <row r="21" spans="1:21">
      <c r="A21" t="s">
        <v>68</v>
      </c>
      <c r="B21" s="8">
        <v>998</v>
      </c>
      <c r="C21" s="8">
        <v>1966</v>
      </c>
      <c r="D21" s="7">
        <v>0.49</v>
      </c>
      <c r="E21">
        <v>44</v>
      </c>
      <c r="F21">
        <v>4.5999999999999996</v>
      </c>
      <c r="G21">
        <f>Cleaned_Data[[#This Row],[Old Price]]-Cleaned_Data[[#This Row],[Current Price]]</f>
        <v>968</v>
      </c>
      <c r="H21" s="15" t="str">
        <f>IF(Cleaned_Data[[#This Row],[Rating]]="","Missing",IF(Cleaned_Data[[#This Row],[Rating]]&lt;3,"Poor",IF(Cleaned_Data[[#This Row],[Rating]]&lt;=4.5,"Average","Excellent")))</f>
        <v>Excellent</v>
      </c>
      <c r="I21" s="15" t="str">
        <f>IF(
Cleaned_Data[[#This Row],[Discount]]="",
"Missing",
IF(
Cleaned_Data[[#This Row],[Discount]]&lt;20%,
"Low Discount",
IF(
Cleaned_Data[[#This Row],[Discount]]&lt;=40%,
"Medium Discount",
"High Discount"
)
)
)</f>
        <v>High Discount</v>
      </c>
      <c r="J21" s="15" t="str">
        <f>IF(
Cleaned_Data[[#This Row],[Current Price]]="",
"Missing",
IF(
Cleaned_Data[[#This Row],[Current Price]]&lt;=Analysis!$B$3,
"Low Price",
IF(
Cleaned_Data[[#This Row],[Current Price]]&lt;=Analysis!$B$4,
"Medium Price",
"High Price"
)
)
)</f>
        <v>Medium Price</v>
      </c>
      <c r="K21" s="15" t="str">
        <f>IF(Cleaned_Data[[#This Row],[Review]]="","Missing",IF(Cleaned_Data[[#This Row],[Review]]&gt;=Engagement_Threshold,"Strong Engagement","Weak Engagement"))</f>
        <v>Strong Engagement</v>
      </c>
      <c r="L21" s="15" t="str">
        <f>IF(OR(Cleaned_Data[[#This Row],[Discount]]="",Cleaned_Data[[#This Row],[Rating]]=""),"Missing",IF(AND(Cleaned_Data[[#This Row],[Discount Category]]="High Discount",Cleaned_Data[[#This Row],[Rating Category]]="Poor"),"Flag","OK"))</f>
        <v>OK</v>
      </c>
      <c r="M21" s="15" t="str">
        <f>IF(OR(Cleaned_Data[[#This Row],[Discount]]="",Cleaned_Data[[#This Row],[Review]]=""),"Missing",IF(AND(Cleaned_Data[[#This Row],[Discount Category]]="High Discount",Cleaned_Data[[#This Row],[Engagement]]="Weak Engagement"),"Flag","OK"))</f>
        <v>OK</v>
      </c>
      <c r="N21" s="15" t="str">
        <f>IF(OR(Cleaned_Data[[#This Row],[Review]]="",Cleaned_Data[[#This Row],[Rating]]=""),"Missing",IF(AND(Cleaned_Data[[#This Row],[Engagement]]="Strong Engagement",Cleaned_Data[[#This Row],[Rating Category]]="Average"),"Flag","OK"))</f>
        <v>OK</v>
      </c>
      <c r="O21" s="15" t="str">
        <f>IF(OR(Cleaned_Data[[#This Row],[Review]]="",Cleaned_Data[[#This Row],[Rating]]=""),"Missing",IF(AND(Cleaned_Data[[#This Row],[Engagement]]="Strong Engagement",Cleaned_Data[[#This Row],[Rating Category]]="Excellent"),"Flag","OK"))</f>
        <v>Flag</v>
      </c>
      <c r="P21" s="15" t="str">
        <f>IF(Cleaned_Data[[#This Row],[Rating]]="","Missing Rating","Has Rating")</f>
        <v>Has Rating</v>
      </c>
      <c r="Q21" s="7">
        <f>IFERROR(
(Cleaned_Data[[#This Row],[Old Price]]-Cleaned_Data[[#This Row],[Current Price]])/Cleaned_Data[[#This Row],[Old Price]],
""
)</f>
        <v>0.49237029501525942</v>
      </c>
      <c r="R21" s="7" t="str">
        <f>IF( Cleaned_Data[[#This Row],[Discount]] -
 Cleaned_Data[[#This Row],[Calculated Discount]]&gt;2%,
"Check",
"OK"
)</f>
        <v>OK</v>
      </c>
      <c r="S21" t="str">
        <f>IF(OR(Cleaned_Data[[#This Row],[Rating]]&lt;0,Cleaned_Data[[#This Row],[Rating]]&gt;5),"Check rating","OK")</f>
        <v>OK</v>
      </c>
      <c r="T21" t="str">
        <f>IF(OR(Cleaned_Data[[#This Row],[Discount]]&lt;0,Cleaned_Data[[#This Row],[Discount]]&gt;1),"Check discount","OK")</f>
        <v>OK</v>
      </c>
      <c r="U21" t="str">
        <f>IF(Cleaned_Data[[#This Row],[Current Price]]&gt;Cleaned_Data[[#This Row],[Old Price]],"Check prices","OK")</f>
        <v>OK</v>
      </c>
    </row>
    <row r="22" spans="1:21">
      <c r="A22" t="s">
        <v>71</v>
      </c>
      <c r="B22" s="8">
        <v>38</v>
      </c>
      <c r="C22" s="8">
        <v>80</v>
      </c>
      <c r="D22" s="7">
        <v>0.53</v>
      </c>
      <c r="E22">
        <v>13</v>
      </c>
      <c r="F22">
        <v>3.3</v>
      </c>
      <c r="G22">
        <f>Cleaned_Data[[#This Row],[Old Price]]-Cleaned_Data[[#This Row],[Current Price]]</f>
        <v>42</v>
      </c>
      <c r="H22" s="15" t="str">
        <f>IF(Cleaned_Data[[#This Row],[Rating]]="","Missing",IF(Cleaned_Data[[#This Row],[Rating]]&lt;3,"Poor",IF(Cleaned_Data[[#This Row],[Rating]]&lt;=4.5,"Average","Excellent")))</f>
        <v>Average</v>
      </c>
      <c r="I22" s="15" t="str">
        <f>IF(
Cleaned_Data[[#This Row],[Discount]]="",
"Missing",
IF(
Cleaned_Data[[#This Row],[Discount]]&lt;20%,
"Low Discount",
IF(
Cleaned_Data[[#This Row],[Discount]]&lt;=40%,
"Medium Discount",
"High Discount"
)
)
)</f>
        <v>High Discount</v>
      </c>
      <c r="J22" s="15" t="str">
        <f>IF(
Cleaned_Data[[#This Row],[Current Price]]="",
"Missing",
IF(
Cleaned_Data[[#This Row],[Current Price]]&lt;=Analysis!$B$3,
"Low Price",
IF(
Cleaned_Data[[#This Row],[Current Price]]&lt;=Analysis!$B$4,
"Medium Price",
"High Price"
)
)
)</f>
        <v>Low Price</v>
      </c>
      <c r="K22" s="15" t="str">
        <f>IF(Cleaned_Data[[#This Row],[Review]]="","Missing",IF(Cleaned_Data[[#This Row],[Review]]&gt;=Engagement_Threshold,"Strong Engagement","Weak Engagement"))</f>
        <v>Weak Engagement</v>
      </c>
      <c r="L22" s="15" t="str">
        <f>IF(OR(Cleaned_Data[[#This Row],[Discount]]="",Cleaned_Data[[#This Row],[Rating]]=""),"Missing",IF(AND(Cleaned_Data[[#This Row],[Discount Category]]="High Discount",Cleaned_Data[[#This Row],[Rating Category]]="Poor"),"Flag","OK"))</f>
        <v>OK</v>
      </c>
      <c r="M22" s="15" t="str">
        <f>IF(OR(Cleaned_Data[[#This Row],[Discount]]="",Cleaned_Data[[#This Row],[Review]]=""),"Missing",IF(AND(Cleaned_Data[[#This Row],[Discount Category]]="High Discount",Cleaned_Data[[#This Row],[Engagement]]="Weak Engagement"),"Flag","OK"))</f>
        <v>Flag</v>
      </c>
      <c r="N22" s="15" t="str">
        <f>IF(OR(Cleaned_Data[[#This Row],[Review]]="",Cleaned_Data[[#This Row],[Rating]]=""),"Missing",IF(AND(Cleaned_Data[[#This Row],[Engagement]]="Strong Engagement",Cleaned_Data[[#This Row],[Rating Category]]="Average"),"Flag","OK"))</f>
        <v>OK</v>
      </c>
      <c r="O22" s="15" t="str">
        <f>IF(OR(Cleaned_Data[[#This Row],[Review]]="",Cleaned_Data[[#This Row],[Rating]]=""),"Missing",IF(AND(Cleaned_Data[[#This Row],[Engagement]]="Strong Engagement",Cleaned_Data[[#This Row],[Rating Category]]="Excellent"),"Flag","OK"))</f>
        <v>OK</v>
      </c>
      <c r="P22" s="15" t="str">
        <f>IF(Cleaned_Data[[#This Row],[Rating]]="","Missing Rating","Has Rating")</f>
        <v>Has Rating</v>
      </c>
      <c r="Q22" s="7">
        <f>IFERROR(
(Cleaned_Data[[#This Row],[Old Price]]-Cleaned_Data[[#This Row],[Current Price]])/Cleaned_Data[[#This Row],[Old Price]],
""
)</f>
        <v>0.52500000000000002</v>
      </c>
      <c r="R22" s="7" t="str">
        <f>IF( Cleaned_Data[[#This Row],[Discount]] -
 Cleaned_Data[[#This Row],[Calculated Discount]]&gt;2%,
"Check",
"OK"
)</f>
        <v>OK</v>
      </c>
      <c r="S22" t="str">
        <f>IF(OR(Cleaned_Data[[#This Row],[Rating]]&lt;0,Cleaned_Data[[#This Row],[Rating]]&gt;5),"Check rating","OK")</f>
        <v>OK</v>
      </c>
      <c r="T22" t="str">
        <f>IF(OR(Cleaned_Data[[#This Row],[Discount]]&lt;0,Cleaned_Data[[#This Row],[Discount]]&gt;1),"Check discount","OK")</f>
        <v>OK</v>
      </c>
      <c r="U22" t="str">
        <f>IF(Cleaned_Data[[#This Row],[Current Price]]&gt;Cleaned_Data[[#This Row],[Old Price]],"Check prices","OK")</f>
        <v>OK</v>
      </c>
    </row>
    <row r="23" spans="1:21">
      <c r="A23" t="s">
        <v>75</v>
      </c>
      <c r="B23" s="8">
        <v>1860</v>
      </c>
      <c r="C23" s="8">
        <v>3220</v>
      </c>
      <c r="D23" s="7">
        <v>0.42</v>
      </c>
      <c r="G23">
        <f>Cleaned_Data[[#This Row],[Old Price]]-Cleaned_Data[[#This Row],[Current Price]]</f>
        <v>1360</v>
      </c>
      <c r="H23" s="15" t="str">
        <f>IF(Cleaned_Data[[#This Row],[Rating]]="","Missing",IF(Cleaned_Data[[#This Row],[Rating]]&lt;3,"Poor",IF(Cleaned_Data[[#This Row],[Rating]]&lt;=4.5,"Average","Excellent")))</f>
        <v>Missing</v>
      </c>
      <c r="I23" s="15" t="str">
        <f>IF(
Cleaned_Data[[#This Row],[Discount]]="",
"Missing",
IF(
Cleaned_Data[[#This Row],[Discount]]&lt;20%,
"Low Discount",
IF(
Cleaned_Data[[#This Row],[Discount]]&lt;=40%,
"Medium Discount",
"High Discount"
)
)
)</f>
        <v>High Discount</v>
      </c>
      <c r="J23" s="15" t="str">
        <f>IF(
Cleaned_Data[[#This Row],[Current Price]]="",
"Missing",
IF(
Cleaned_Data[[#This Row],[Current Price]]&lt;=Analysis!$B$3,
"Low Price",
IF(
Cleaned_Data[[#This Row],[Current Price]]&lt;=Analysis!$B$4,
"Medium Price",
"High Price"
)
)
)</f>
        <v>High Price</v>
      </c>
      <c r="K23" s="15" t="str">
        <f>IF(Cleaned_Data[[#This Row],[Review]]="","Missing",IF(Cleaned_Data[[#This Row],[Review]]&gt;=Engagement_Threshold,"Strong Engagement","Weak Engagement"))</f>
        <v>Missing</v>
      </c>
      <c r="L23" s="15" t="str">
        <f>IF(OR(Cleaned_Data[[#This Row],[Discount]]="",Cleaned_Data[[#This Row],[Rating]]=""),"Missing",IF(AND(Cleaned_Data[[#This Row],[Discount Category]]="High Discount",Cleaned_Data[[#This Row],[Rating Category]]="Poor"),"Flag","OK"))</f>
        <v>Missing</v>
      </c>
      <c r="M23" s="15" t="str">
        <f>IF(OR(Cleaned_Data[[#This Row],[Discount]]="",Cleaned_Data[[#This Row],[Review]]=""),"Missing",IF(AND(Cleaned_Data[[#This Row],[Discount Category]]="High Discount",Cleaned_Data[[#This Row],[Engagement]]="Weak Engagement"),"Flag","OK"))</f>
        <v>Missing</v>
      </c>
      <c r="N23" s="15" t="str">
        <f>IF(OR(Cleaned_Data[[#This Row],[Review]]="",Cleaned_Data[[#This Row],[Rating]]=""),"Missing",IF(AND(Cleaned_Data[[#This Row],[Engagement]]="Strong Engagement",Cleaned_Data[[#This Row],[Rating Category]]="Average"),"Flag","OK"))</f>
        <v>Missing</v>
      </c>
      <c r="O23" s="15" t="str">
        <f>IF(OR(Cleaned_Data[[#This Row],[Review]]="",Cleaned_Data[[#This Row],[Rating]]=""),"Missing",IF(AND(Cleaned_Data[[#This Row],[Engagement]]="Strong Engagement",Cleaned_Data[[#This Row],[Rating Category]]="Excellent"),"Flag","OK"))</f>
        <v>Missing</v>
      </c>
      <c r="P23" s="15" t="str">
        <f>IF(Cleaned_Data[[#This Row],[Rating]]="","Missing Rating","Has Rating")</f>
        <v>Missing Rating</v>
      </c>
      <c r="Q23" s="7">
        <f>IFERROR(
(Cleaned_Data[[#This Row],[Old Price]]-Cleaned_Data[[#This Row],[Current Price]])/Cleaned_Data[[#This Row],[Old Price]],
""
)</f>
        <v>0.42236024844720499</v>
      </c>
      <c r="R23" s="7" t="str">
        <f>IF( Cleaned_Data[[#This Row],[Discount]] -
 Cleaned_Data[[#This Row],[Calculated Discount]]&gt;2%,
"Check",
"OK"
)</f>
        <v>OK</v>
      </c>
      <c r="S23" t="str">
        <f>IF(OR(Cleaned_Data[[#This Row],[Rating]]&lt;0,Cleaned_Data[[#This Row],[Rating]]&gt;5),"Check rating","OK")</f>
        <v>OK</v>
      </c>
      <c r="T23" t="str">
        <f>IF(OR(Cleaned_Data[[#This Row],[Discount]]&lt;0,Cleaned_Data[[#This Row],[Discount]]&gt;1),"Check discount","OK")</f>
        <v>OK</v>
      </c>
      <c r="U23" t="str">
        <f>IF(Cleaned_Data[[#This Row],[Current Price]]&gt;Cleaned_Data[[#This Row],[Old Price]],"Check prices","OK")</f>
        <v>OK</v>
      </c>
    </row>
    <row r="24" spans="1:21">
      <c r="A24" t="s">
        <v>79</v>
      </c>
      <c r="B24" s="8">
        <v>880</v>
      </c>
      <c r="C24" s="8">
        <v>1350</v>
      </c>
      <c r="D24" s="7">
        <v>0.35</v>
      </c>
      <c r="E24">
        <v>6</v>
      </c>
      <c r="F24">
        <v>4</v>
      </c>
      <c r="G24">
        <f>Cleaned_Data[[#This Row],[Old Price]]-Cleaned_Data[[#This Row],[Current Price]]</f>
        <v>470</v>
      </c>
      <c r="H24" s="15" t="str">
        <f>IF(Cleaned_Data[[#This Row],[Rating]]="","Missing",IF(Cleaned_Data[[#This Row],[Rating]]&lt;3,"Poor",IF(Cleaned_Data[[#This Row],[Rating]]&lt;=4.5,"Average","Excellent")))</f>
        <v>Average</v>
      </c>
      <c r="I24" s="15" t="str">
        <f>IF(
Cleaned_Data[[#This Row],[Discount]]="",
"Missing",
IF(
Cleaned_Data[[#This Row],[Discount]]&lt;20%,
"Low Discount",
IF(
Cleaned_Data[[#This Row],[Discount]]&lt;=40%,
"Medium Discount",
"High Discount"
)
)
)</f>
        <v>Medium Discount</v>
      </c>
      <c r="J24" s="15" t="str">
        <f>IF(
Cleaned_Data[[#This Row],[Current Price]]="",
"Missing",
IF(
Cleaned_Data[[#This Row],[Current Price]]&lt;=Analysis!$B$3,
"Low Price",
IF(
Cleaned_Data[[#This Row],[Current Price]]&lt;=Analysis!$B$4,
"Medium Price",
"High Price"
)
)
)</f>
        <v>Medium Price</v>
      </c>
      <c r="K24" s="15" t="str">
        <f>IF(Cleaned_Data[[#This Row],[Review]]="","Missing",IF(Cleaned_Data[[#This Row],[Review]]&gt;=Engagement_Threshold,"Strong Engagement","Weak Engagement"))</f>
        <v>Weak Engagement</v>
      </c>
      <c r="L24" s="15" t="str">
        <f>IF(OR(Cleaned_Data[[#This Row],[Discount]]="",Cleaned_Data[[#This Row],[Rating]]=""),"Missing",IF(AND(Cleaned_Data[[#This Row],[Discount Category]]="High Discount",Cleaned_Data[[#This Row],[Rating Category]]="Poor"),"Flag","OK"))</f>
        <v>OK</v>
      </c>
      <c r="M24" s="15" t="str">
        <f>IF(OR(Cleaned_Data[[#This Row],[Discount]]="",Cleaned_Data[[#This Row],[Review]]=""),"Missing",IF(AND(Cleaned_Data[[#This Row],[Discount Category]]="High Discount",Cleaned_Data[[#This Row],[Engagement]]="Weak Engagement"),"Flag","OK"))</f>
        <v>OK</v>
      </c>
      <c r="N24" s="15" t="str">
        <f>IF(OR(Cleaned_Data[[#This Row],[Review]]="",Cleaned_Data[[#This Row],[Rating]]=""),"Missing",IF(AND(Cleaned_Data[[#This Row],[Engagement]]="Strong Engagement",Cleaned_Data[[#This Row],[Rating Category]]="Average"),"Flag","OK"))</f>
        <v>OK</v>
      </c>
      <c r="O24" s="15" t="str">
        <f>IF(OR(Cleaned_Data[[#This Row],[Review]]="",Cleaned_Data[[#This Row],[Rating]]=""),"Missing",IF(AND(Cleaned_Data[[#This Row],[Engagement]]="Strong Engagement",Cleaned_Data[[#This Row],[Rating Category]]="Excellent"),"Flag","OK"))</f>
        <v>OK</v>
      </c>
      <c r="P24" s="15" t="str">
        <f>IF(Cleaned_Data[[#This Row],[Rating]]="","Missing Rating","Has Rating")</f>
        <v>Has Rating</v>
      </c>
      <c r="Q24" s="7">
        <f>IFERROR(
(Cleaned_Data[[#This Row],[Old Price]]-Cleaned_Data[[#This Row],[Current Price]])/Cleaned_Data[[#This Row],[Old Price]],
""
)</f>
        <v>0.34814814814814815</v>
      </c>
      <c r="R24" s="7" t="str">
        <f>IF( Cleaned_Data[[#This Row],[Discount]] -
 Cleaned_Data[[#This Row],[Calculated Discount]]&gt;2%,
"Check",
"OK"
)</f>
        <v>OK</v>
      </c>
      <c r="S24" t="str">
        <f>IF(OR(Cleaned_Data[[#This Row],[Rating]]&lt;0,Cleaned_Data[[#This Row],[Rating]]&gt;5),"Check rating","OK")</f>
        <v>OK</v>
      </c>
      <c r="T24" t="str">
        <f>IF(OR(Cleaned_Data[[#This Row],[Discount]]&lt;0,Cleaned_Data[[#This Row],[Discount]]&gt;1),"Check discount","OK")</f>
        <v>OK</v>
      </c>
      <c r="U24" t="str">
        <f>IF(Cleaned_Data[[#This Row],[Current Price]]&gt;Cleaned_Data[[#This Row],[Old Price]],"Check prices","OK")</f>
        <v>OK</v>
      </c>
    </row>
    <row r="25" spans="1:21">
      <c r="A25" t="s">
        <v>82</v>
      </c>
      <c r="B25" s="8">
        <v>1650</v>
      </c>
      <c r="C25" s="8">
        <v>2150</v>
      </c>
      <c r="D25" s="7">
        <v>0.23</v>
      </c>
      <c r="E25">
        <v>14</v>
      </c>
      <c r="F25">
        <v>4.4000000000000004</v>
      </c>
      <c r="G25">
        <f>Cleaned_Data[[#This Row],[Old Price]]-Cleaned_Data[[#This Row],[Current Price]]</f>
        <v>500</v>
      </c>
      <c r="H25" s="15" t="str">
        <f>IF(Cleaned_Data[[#This Row],[Rating]]="","Missing",IF(Cleaned_Data[[#This Row],[Rating]]&lt;3,"Poor",IF(Cleaned_Data[[#This Row],[Rating]]&lt;=4.5,"Average","Excellent")))</f>
        <v>Average</v>
      </c>
      <c r="I25" s="15" t="str">
        <f>IF(
Cleaned_Data[[#This Row],[Discount]]="",
"Missing",
IF(
Cleaned_Data[[#This Row],[Discount]]&lt;20%,
"Low Discount",
IF(
Cleaned_Data[[#This Row],[Discount]]&lt;=40%,
"Medium Discount",
"High Discount"
)
)
)</f>
        <v>Medium Discount</v>
      </c>
      <c r="J25" s="15" t="str">
        <f>IF(
Cleaned_Data[[#This Row],[Current Price]]="",
"Missing",
IF(
Cleaned_Data[[#This Row],[Current Price]]&lt;=Analysis!$B$3,
"Low Price",
IF(
Cleaned_Data[[#This Row],[Current Price]]&lt;=Analysis!$B$4,
"Medium Price",
"High Price"
)
)
)</f>
        <v>Medium Price</v>
      </c>
      <c r="K25" s="15" t="str">
        <f>IF(Cleaned_Data[[#This Row],[Review]]="","Missing",IF(Cleaned_Data[[#This Row],[Review]]&gt;=Engagement_Threshold,"Strong Engagement","Weak Engagement"))</f>
        <v>Strong Engagement</v>
      </c>
      <c r="L25" s="15" t="str">
        <f>IF(OR(Cleaned_Data[[#This Row],[Discount]]="",Cleaned_Data[[#This Row],[Rating]]=""),"Missing",IF(AND(Cleaned_Data[[#This Row],[Discount Category]]="High Discount",Cleaned_Data[[#This Row],[Rating Category]]="Poor"),"Flag","OK"))</f>
        <v>OK</v>
      </c>
      <c r="M25" s="15" t="str">
        <f>IF(OR(Cleaned_Data[[#This Row],[Discount]]="",Cleaned_Data[[#This Row],[Review]]=""),"Missing",IF(AND(Cleaned_Data[[#This Row],[Discount Category]]="High Discount",Cleaned_Data[[#This Row],[Engagement]]="Weak Engagement"),"Flag","OK"))</f>
        <v>OK</v>
      </c>
      <c r="N25" s="15" t="str">
        <f>IF(OR(Cleaned_Data[[#This Row],[Review]]="",Cleaned_Data[[#This Row],[Rating]]=""),"Missing",IF(AND(Cleaned_Data[[#This Row],[Engagement]]="Strong Engagement",Cleaned_Data[[#This Row],[Rating Category]]="Average"),"Flag","OK"))</f>
        <v>Flag</v>
      </c>
      <c r="O25" s="15" t="str">
        <f>IF(OR(Cleaned_Data[[#This Row],[Review]]="",Cleaned_Data[[#This Row],[Rating]]=""),"Missing",IF(AND(Cleaned_Data[[#This Row],[Engagement]]="Strong Engagement",Cleaned_Data[[#This Row],[Rating Category]]="Excellent"),"Flag","OK"))</f>
        <v>OK</v>
      </c>
      <c r="P25" s="15" t="str">
        <f>IF(Cleaned_Data[[#This Row],[Rating]]="","Missing Rating","Has Rating")</f>
        <v>Has Rating</v>
      </c>
      <c r="Q25" s="7">
        <f>IFERROR(
(Cleaned_Data[[#This Row],[Old Price]]-Cleaned_Data[[#This Row],[Current Price]])/Cleaned_Data[[#This Row],[Old Price]],
""
)</f>
        <v>0.23255813953488372</v>
      </c>
      <c r="R25" s="7" t="str">
        <f>IF( Cleaned_Data[[#This Row],[Discount]] -
 Cleaned_Data[[#This Row],[Calculated Discount]]&gt;2%,
"Check",
"OK"
)</f>
        <v>OK</v>
      </c>
      <c r="S25" t="str">
        <f>IF(OR(Cleaned_Data[[#This Row],[Rating]]&lt;0,Cleaned_Data[[#This Row],[Rating]]&gt;5),"Check rating","OK")</f>
        <v>OK</v>
      </c>
      <c r="T25" t="str">
        <f>IF(OR(Cleaned_Data[[#This Row],[Discount]]&lt;0,Cleaned_Data[[#This Row],[Discount]]&gt;1),"Check discount","OK")</f>
        <v>OK</v>
      </c>
      <c r="U25" t="str">
        <f>IF(Cleaned_Data[[#This Row],[Current Price]]&gt;Cleaned_Data[[#This Row],[Old Price]],"Check prices","OK")</f>
        <v>OK</v>
      </c>
    </row>
    <row r="26" spans="1:21">
      <c r="A26" t="s">
        <v>86</v>
      </c>
      <c r="B26" s="8">
        <v>2048</v>
      </c>
      <c r="C26" s="8">
        <v>4500</v>
      </c>
      <c r="D26" s="7">
        <v>0.54</v>
      </c>
      <c r="E26">
        <v>7</v>
      </c>
      <c r="F26">
        <v>4.3</v>
      </c>
      <c r="G26">
        <f>Cleaned_Data[[#This Row],[Old Price]]-Cleaned_Data[[#This Row],[Current Price]]</f>
        <v>2452</v>
      </c>
      <c r="H26" s="15" t="str">
        <f>IF(Cleaned_Data[[#This Row],[Rating]]="","Missing",IF(Cleaned_Data[[#This Row],[Rating]]&lt;3,"Poor",IF(Cleaned_Data[[#This Row],[Rating]]&lt;=4.5,"Average","Excellent")))</f>
        <v>Average</v>
      </c>
      <c r="I26" s="15" t="str">
        <f>IF(
Cleaned_Data[[#This Row],[Discount]]="",
"Missing",
IF(
Cleaned_Data[[#This Row],[Discount]]&lt;20%,
"Low Discount",
IF(
Cleaned_Data[[#This Row],[Discount]]&lt;=40%,
"Medium Discount",
"High Discount"
)
)
)</f>
        <v>High Discount</v>
      </c>
      <c r="J26" s="15" t="str">
        <f>IF(
Cleaned_Data[[#This Row],[Current Price]]="",
"Missing",
IF(
Cleaned_Data[[#This Row],[Current Price]]&lt;=Analysis!$B$3,
"Low Price",
IF(
Cleaned_Data[[#This Row],[Current Price]]&lt;=Analysis!$B$4,
"Medium Price",
"High Price"
)
)
)</f>
        <v>High Price</v>
      </c>
      <c r="K26" s="15" t="str">
        <f>IF(Cleaned_Data[[#This Row],[Review]]="","Missing",IF(Cleaned_Data[[#This Row],[Review]]&gt;=Engagement_Threshold,"Strong Engagement","Weak Engagement"))</f>
        <v>Weak Engagement</v>
      </c>
      <c r="L26" s="15" t="str">
        <f>IF(OR(Cleaned_Data[[#This Row],[Discount]]="",Cleaned_Data[[#This Row],[Rating]]=""),"Missing",IF(AND(Cleaned_Data[[#This Row],[Discount Category]]="High Discount",Cleaned_Data[[#This Row],[Rating Category]]="Poor"),"Flag","OK"))</f>
        <v>OK</v>
      </c>
      <c r="M26" s="15" t="str">
        <f>IF(OR(Cleaned_Data[[#This Row],[Discount]]="",Cleaned_Data[[#This Row],[Review]]=""),"Missing",IF(AND(Cleaned_Data[[#This Row],[Discount Category]]="High Discount",Cleaned_Data[[#This Row],[Engagement]]="Weak Engagement"),"Flag","OK"))</f>
        <v>Flag</v>
      </c>
      <c r="N26" s="15" t="str">
        <f>IF(OR(Cleaned_Data[[#This Row],[Review]]="",Cleaned_Data[[#This Row],[Rating]]=""),"Missing",IF(AND(Cleaned_Data[[#This Row],[Engagement]]="Strong Engagement",Cleaned_Data[[#This Row],[Rating Category]]="Average"),"Flag","OK"))</f>
        <v>OK</v>
      </c>
      <c r="O26" s="15" t="str">
        <f>IF(OR(Cleaned_Data[[#This Row],[Review]]="",Cleaned_Data[[#This Row],[Rating]]=""),"Missing",IF(AND(Cleaned_Data[[#This Row],[Engagement]]="Strong Engagement",Cleaned_Data[[#This Row],[Rating Category]]="Excellent"),"Flag","OK"))</f>
        <v>OK</v>
      </c>
      <c r="P26" s="15" t="str">
        <f>IF(Cleaned_Data[[#This Row],[Rating]]="","Missing Rating","Has Rating")</f>
        <v>Has Rating</v>
      </c>
      <c r="Q26" s="7">
        <f>IFERROR(
(Cleaned_Data[[#This Row],[Old Price]]-Cleaned_Data[[#This Row],[Current Price]])/Cleaned_Data[[#This Row],[Old Price]],
""
)</f>
        <v>0.54488888888888887</v>
      </c>
      <c r="R26" s="7" t="str">
        <f>IF( Cleaned_Data[[#This Row],[Discount]] -
 Cleaned_Data[[#This Row],[Calculated Discount]]&gt;2%,
"Check",
"OK"
)</f>
        <v>OK</v>
      </c>
      <c r="S26" t="str">
        <f>IF(OR(Cleaned_Data[[#This Row],[Rating]]&lt;0,Cleaned_Data[[#This Row],[Rating]]&gt;5),"Check rating","OK")</f>
        <v>OK</v>
      </c>
      <c r="T26" t="str">
        <f>IF(OR(Cleaned_Data[[#This Row],[Discount]]&lt;0,Cleaned_Data[[#This Row],[Discount]]&gt;1),"Check discount","OK")</f>
        <v>OK</v>
      </c>
      <c r="U26" t="str">
        <f>IF(Cleaned_Data[[#This Row],[Current Price]]&gt;Cleaned_Data[[#This Row],[Old Price]],"Check prices","OK")</f>
        <v>OK</v>
      </c>
    </row>
    <row r="27" spans="1:21">
      <c r="A27" t="s">
        <v>90</v>
      </c>
      <c r="B27" s="8">
        <v>420</v>
      </c>
      <c r="C27" s="8">
        <v>647</v>
      </c>
      <c r="D27" s="7">
        <v>0.35</v>
      </c>
      <c r="E27">
        <v>49</v>
      </c>
      <c r="F27">
        <v>4.5999999999999996</v>
      </c>
      <c r="G27">
        <f>Cleaned_Data[[#This Row],[Old Price]]-Cleaned_Data[[#This Row],[Current Price]]</f>
        <v>227</v>
      </c>
      <c r="H27" s="15" t="str">
        <f>IF(Cleaned_Data[[#This Row],[Rating]]="","Missing",IF(Cleaned_Data[[#This Row],[Rating]]&lt;3,"Poor",IF(Cleaned_Data[[#This Row],[Rating]]&lt;=4.5,"Average","Excellent")))</f>
        <v>Excellent</v>
      </c>
      <c r="I27" s="15" t="str">
        <f>IF(
Cleaned_Data[[#This Row],[Discount]]="",
"Missing",
IF(
Cleaned_Data[[#This Row],[Discount]]&lt;20%,
"Low Discount",
IF(
Cleaned_Data[[#This Row],[Discount]]&lt;=40%,
"Medium Discount",
"High Discount"
)
)
)</f>
        <v>Medium Discount</v>
      </c>
      <c r="J27" s="15" t="str">
        <f>IF(
Cleaned_Data[[#This Row],[Current Price]]="",
"Missing",
IF(
Cleaned_Data[[#This Row],[Current Price]]&lt;=Analysis!$B$3,
"Low Price",
IF(
Cleaned_Data[[#This Row],[Current Price]]&lt;=Analysis!$B$4,
"Medium Price",
"High Price"
)
)
)</f>
        <v>Low Price</v>
      </c>
      <c r="K27" s="15" t="str">
        <f>IF(Cleaned_Data[[#This Row],[Review]]="","Missing",IF(Cleaned_Data[[#This Row],[Review]]&gt;=Engagement_Threshold,"Strong Engagement","Weak Engagement"))</f>
        <v>Strong Engagement</v>
      </c>
      <c r="L27" s="15" t="str">
        <f>IF(OR(Cleaned_Data[[#This Row],[Discount]]="",Cleaned_Data[[#This Row],[Rating]]=""),"Missing",IF(AND(Cleaned_Data[[#This Row],[Discount Category]]="High Discount",Cleaned_Data[[#This Row],[Rating Category]]="Poor"),"Flag","OK"))</f>
        <v>OK</v>
      </c>
      <c r="M27" s="15" t="str">
        <f>IF(OR(Cleaned_Data[[#This Row],[Discount]]="",Cleaned_Data[[#This Row],[Review]]=""),"Missing",IF(AND(Cleaned_Data[[#This Row],[Discount Category]]="High Discount",Cleaned_Data[[#This Row],[Engagement]]="Weak Engagement"),"Flag","OK"))</f>
        <v>OK</v>
      </c>
      <c r="N27" s="15" t="str">
        <f>IF(OR(Cleaned_Data[[#This Row],[Review]]="",Cleaned_Data[[#This Row],[Rating]]=""),"Missing",IF(AND(Cleaned_Data[[#This Row],[Engagement]]="Strong Engagement",Cleaned_Data[[#This Row],[Rating Category]]="Average"),"Flag","OK"))</f>
        <v>OK</v>
      </c>
      <c r="O27" s="15" t="str">
        <f>IF(OR(Cleaned_Data[[#This Row],[Review]]="",Cleaned_Data[[#This Row],[Rating]]=""),"Missing",IF(AND(Cleaned_Data[[#This Row],[Engagement]]="Strong Engagement",Cleaned_Data[[#This Row],[Rating Category]]="Excellent"),"Flag","OK"))</f>
        <v>Flag</v>
      </c>
      <c r="P27" s="15" t="str">
        <f>IF(Cleaned_Data[[#This Row],[Rating]]="","Missing Rating","Has Rating")</f>
        <v>Has Rating</v>
      </c>
      <c r="Q27" s="7">
        <f>IFERROR(
(Cleaned_Data[[#This Row],[Old Price]]-Cleaned_Data[[#This Row],[Current Price]])/Cleaned_Data[[#This Row],[Old Price]],
""
)</f>
        <v>0.3508500772797527</v>
      </c>
      <c r="R27" s="7" t="str">
        <f>IF( Cleaned_Data[[#This Row],[Discount]] -
 Cleaned_Data[[#This Row],[Calculated Discount]]&gt;2%,
"Check",
"OK"
)</f>
        <v>OK</v>
      </c>
      <c r="S27" t="str">
        <f>IF(OR(Cleaned_Data[[#This Row],[Rating]]&lt;0,Cleaned_Data[[#This Row],[Rating]]&gt;5),"Check rating","OK")</f>
        <v>OK</v>
      </c>
      <c r="T27" t="str">
        <f>IF(OR(Cleaned_Data[[#This Row],[Discount]]&lt;0,Cleaned_Data[[#This Row],[Discount]]&gt;1),"Check discount","OK")</f>
        <v>OK</v>
      </c>
      <c r="U27" t="str">
        <f>IF(Cleaned_Data[[#This Row],[Current Price]]&gt;Cleaned_Data[[#This Row],[Old Price]],"Check prices","OK")</f>
        <v>OK</v>
      </c>
    </row>
    <row r="28" spans="1:21">
      <c r="A28" t="s">
        <v>93</v>
      </c>
      <c r="B28" s="8">
        <v>2880</v>
      </c>
      <c r="C28" s="8">
        <v>3520</v>
      </c>
      <c r="D28" s="7">
        <v>0.18</v>
      </c>
      <c r="E28">
        <v>12</v>
      </c>
      <c r="F28">
        <v>3.8</v>
      </c>
      <c r="G28">
        <f>Cleaned_Data[[#This Row],[Old Price]]-Cleaned_Data[[#This Row],[Current Price]]</f>
        <v>640</v>
      </c>
      <c r="H28" s="15" t="str">
        <f>IF(Cleaned_Data[[#This Row],[Rating]]="","Missing",IF(Cleaned_Data[[#This Row],[Rating]]&lt;3,"Poor",IF(Cleaned_Data[[#This Row],[Rating]]&lt;=4.5,"Average","Excellent")))</f>
        <v>Average</v>
      </c>
      <c r="I28" s="15" t="str">
        <f>IF(
Cleaned_Data[[#This Row],[Discount]]="",
"Missing",
IF(
Cleaned_Data[[#This Row],[Discount]]&lt;20%,
"Low Discount",
IF(
Cleaned_Data[[#This Row],[Discount]]&lt;=40%,
"Medium Discount",
"High Discount"
)
)
)</f>
        <v>Low Discount</v>
      </c>
      <c r="J28" s="15" t="str">
        <f>IF(
Cleaned_Data[[#This Row],[Current Price]]="",
"Missing",
IF(
Cleaned_Data[[#This Row],[Current Price]]&lt;=Analysis!$B$3,
"Low Price",
IF(
Cleaned_Data[[#This Row],[Current Price]]&lt;=Analysis!$B$4,
"Medium Price",
"High Price"
)
)
)</f>
        <v>High Price</v>
      </c>
      <c r="K28" s="15" t="str">
        <f>IF(Cleaned_Data[[#This Row],[Review]]="","Missing",IF(Cleaned_Data[[#This Row],[Review]]&gt;=Engagement_Threshold,"Strong Engagement","Weak Engagement"))</f>
        <v>Weak Engagement</v>
      </c>
      <c r="L28" s="15" t="str">
        <f>IF(OR(Cleaned_Data[[#This Row],[Discount]]="",Cleaned_Data[[#This Row],[Rating]]=""),"Missing",IF(AND(Cleaned_Data[[#This Row],[Discount Category]]="High Discount",Cleaned_Data[[#This Row],[Rating Category]]="Poor"),"Flag","OK"))</f>
        <v>OK</v>
      </c>
      <c r="M28" s="15" t="str">
        <f>IF(OR(Cleaned_Data[[#This Row],[Discount]]="",Cleaned_Data[[#This Row],[Review]]=""),"Missing",IF(AND(Cleaned_Data[[#This Row],[Discount Category]]="High Discount",Cleaned_Data[[#This Row],[Engagement]]="Weak Engagement"),"Flag","OK"))</f>
        <v>OK</v>
      </c>
      <c r="N28" s="15" t="str">
        <f>IF(OR(Cleaned_Data[[#This Row],[Review]]="",Cleaned_Data[[#This Row],[Rating]]=""),"Missing",IF(AND(Cleaned_Data[[#This Row],[Engagement]]="Strong Engagement",Cleaned_Data[[#This Row],[Rating Category]]="Average"),"Flag","OK"))</f>
        <v>OK</v>
      </c>
      <c r="O28" s="15" t="str">
        <f>IF(OR(Cleaned_Data[[#This Row],[Review]]="",Cleaned_Data[[#This Row],[Rating]]=""),"Missing",IF(AND(Cleaned_Data[[#This Row],[Engagement]]="Strong Engagement",Cleaned_Data[[#This Row],[Rating Category]]="Excellent"),"Flag","OK"))</f>
        <v>OK</v>
      </c>
      <c r="P28" s="15" t="str">
        <f>IF(Cleaned_Data[[#This Row],[Rating]]="","Missing Rating","Has Rating")</f>
        <v>Has Rating</v>
      </c>
      <c r="Q28" s="7">
        <f>IFERROR(
(Cleaned_Data[[#This Row],[Old Price]]-Cleaned_Data[[#This Row],[Current Price]])/Cleaned_Data[[#This Row],[Old Price]],
""
)</f>
        <v>0.18181818181818182</v>
      </c>
      <c r="R28" s="7" t="str">
        <f>IF( Cleaned_Data[[#This Row],[Discount]] -
 Cleaned_Data[[#This Row],[Calculated Discount]]&gt;2%,
"Check",
"OK"
)</f>
        <v>OK</v>
      </c>
      <c r="S28" t="str">
        <f>IF(OR(Cleaned_Data[[#This Row],[Rating]]&lt;0,Cleaned_Data[[#This Row],[Rating]]&gt;5),"Check rating","OK")</f>
        <v>OK</v>
      </c>
      <c r="T28" t="str">
        <f>IF(OR(Cleaned_Data[[#This Row],[Discount]]&lt;0,Cleaned_Data[[#This Row],[Discount]]&gt;1),"Check discount","OK")</f>
        <v>OK</v>
      </c>
      <c r="U28" t="str">
        <f>IF(Cleaned_Data[[#This Row],[Current Price]]&gt;Cleaned_Data[[#This Row],[Old Price]],"Check prices","OK")</f>
        <v>OK</v>
      </c>
    </row>
    <row r="29" spans="1:21">
      <c r="A29" t="s">
        <v>96</v>
      </c>
      <c r="B29" s="8">
        <v>1350</v>
      </c>
      <c r="C29" s="8">
        <v>1990</v>
      </c>
      <c r="D29" s="7">
        <v>0.32</v>
      </c>
      <c r="E29">
        <v>13</v>
      </c>
      <c r="F29">
        <v>3.8</v>
      </c>
      <c r="G29">
        <f>Cleaned_Data[[#This Row],[Old Price]]-Cleaned_Data[[#This Row],[Current Price]]</f>
        <v>640</v>
      </c>
      <c r="H29" s="15" t="str">
        <f>IF(Cleaned_Data[[#This Row],[Rating]]="","Missing",IF(Cleaned_Data[[#This Row],[Rating]]&lt;3,"Poor",IF(Cleaned_Data[[#This Row],[Rating]]&lt;=4.5,"Average","Excellent")))</f>
        <v>Average</v>
      </c>
      <c r="I29" s="15" t="str">
        <f>IF(
Cleaned_Data[[#This Row],[Discount]]="",
"Missing",
IF(
Cleaned_Data[[#This Row],[Discount]]&lt;20%,
"Low Discount",
IF(
Cleaned_Data[[#This Row],[Discount]]&lt;=40%,
"Medium Discount",
"High Discount"
)
)
)</f>
        <v>Medium Discount</v>
      </c>
      <c r="J29" s="15" t="str">
        <f>IF(
Cleaned_Data[[#This Row],[Current Price]]="",
"Missing",
IF(
Cleaned_Data[[#This Row],[Current Price]]&lt;=Analysis!$B$3,
"Low Price",
IF(
Cleaned_Data[[#This Row],[Current Price]]&lt;=Analysis!$B$4,
"Medium Price",
"High Price"
)
)
)</f>
        <v>Medium Price</v>
      </c>
      <c r="K29" s="15" t="str">
        <f>IF(Cleaned_Data[[#This Row],[Review]]="","Missing",IF(Cleaned_Data[[#This Row],[Review]]&gt;=Engagement_Threshold,"Strong Engagement","Weak Engagement"))</f>
        <v>Weak Engagement</v>
      </c>
      <c r="L29" s="15" t="str">
        <f>IF(OR(Cleaned_Data[[#This Row],[Discount]]="",Cleaned_Data[[#This Row],[Rating]]=""),"Missing",IF(AND(Cleaned_Data[[#This Row],[Discount Category]]="High Discount",Cleaned_Data[[#This Row],[Rating Category]]="Poor"),"Flag","OK"))</f>
        <v>OK</v>
      </c>
      <c r="M29" s="15" t="str">
        <f>IF(OR(Cleaned_Data[[#This Row],[Discount]]="",Cleaned_Data[[#This Row],[Review]]=""),"Missing",IF(AND(Cleaned_Data[[#This Row],[Discount Category]]="High Discount",Cleaned_Data[[#This Row],[Engagement]]="Weak Engagement"),"Flag","OK"))</f>
        <v>OK</v>
      </c>
      <c r="N29" s="15" t="str">
        <f>IF(OR(Cleaned_Data[[#This Row],[Review]]="",Cleaned_Data[[#This Row],[Rating]]=""),"Missing",IF(AND(Cleaned_Data[[#This Row],[Engagement]]="Strong Engagement",Cleaned_Data[[#This Row],[Rating Category]]="Average"),"Flag","OK"))</f>
        <v>OK</v>
      </c>
      <c r="O29" s="15" t="str">
        <f>IF(OR(Cleaned_Data[[#This Row],[Review]]="",Cleaned_Data[[#This Row],[Rating]]=""),"Missing",IF(AND(Cleaned_Data[[#This Row],[Engagement]]="Strong Engagement",Cleaned_Data[[#This Row],[Rating Category]]="Excellent"),"Flag","OK"))</f>
        <v>OK</v>
      </c>
      <c r="P29" s="15" t="str">
        <f>IF(Cleaned_Data[[#This Row],[Rating]]="","Missing Rating","Has Rating")</f>
        <v>Has Rating</v>
      </c>
      <c r="Q29" s="7">
        <f>IFERROR(
(Cleaned_Data[[#This Row],[Old Price]]-Cleaned_Data[[#This Row],[Current Price]])/Cleaned_Data[[#This Row],[Old Price]],
""
)</f>
        <v>0.32160804020100503</v>
      </c>
      <c r="R29" s="7" t="str">
        <f>IF( Cleaned_Data[[#This Row],[Discount]] -
 Cleaned_Data[[#This Row],[Calculated Discount]]&gt;2%,
"Check",
"OK"
)</f>
        <v>OK</v>
      </c>
      <c r="S29" t="str">
        <f>IF(OR(Cleaned_Data[[#This Row],[Rating]]&lt;0,Cleaned_Data[[#This Row],[Rating]]&gt;5),"Check rating","OK")</f>
        <v>OK</v>
      </c>
      <c r="T29" t="str">
        <f>IF(OR(Cleaned_Data[[#This Row],[Discount]]&lt;0,Cleaned_Data[[#This Row],[Discount]]&gt;1),"Check discount","OK")</f>
        <v>OK</v>
      </c>
      <c r="U29" t="str">
        <f>IF(Cleaned_Data[[#This Row],[Current Price]]&gt;Cleaned_Data[[#This Row],[Old Price]],"Check prices","OK")</f>
        <v>OK</v>
      </c>
    </row>
    <row r="30" spans="1:21">
      <c r="A30" t="s">
        <v>98</v>
      </c>
      <c r="B30" s="8">
        <v>1758</v>
      </c>
      <c r="C30" s="8">
        <v>2499</v>
      </c>
      <c r="D30" s="7">
        <v>0.3</v>
      </c>
      <c r="E30">
        <v>20</v>
      </c>
      <c r="F30">
        <v>4.0999999999999996</v>
      </c>
      <c r="G30">
        <f>Cleaned_Data[[#This Row],[Old Price]]-Cleaned_Data[[#This Row],[Current Price]]</f>
        <v>741</v>
      </c>
      <c r="H30" s="15" t="str">
        <f>IF(Cleaned_Data[[#This Row],[Rating]]="","Missing",IF(Cleaned_Data[[#This Row],[Rating]]&lt;3,"Poor",IF(Cleaned_Data[[#This Row],[Rating]]&lt;=4.5,"Average","Excellent")))</f>
        <v>Average</v>
      </c>
      <c r="I30" s="15" t="str">
        <f>IF(
Cleaned_Data[[#This Row],[Discount]]="",
"Missing",
IF(
Cleaned_Data[[#This Row],[Discount]]&lt;20%,
"Low Discount",
IF(
Cleaned_Data[[#This Row],[Discount]]&lt;=40%,
"Medium Discount",
"High Discount"
)
)
)</f>
        <v>Medium Discount</v>
      </c>
      <c r="J30" s="15" t="str">
        <f>IF(
Cleaned_Data[[#This Row],[Current Price]]="",
"Missing",
IF(
Cleaned_Data[[#This Row],[Current Price]]&lt;=Analysis!$B$3,
"Low Price",
IF(
Cleaned_Data[[#This Row],[Current Price]]&lt;=Analysis!$B$4,
"Medium Price",
"High Price"
)
)
)</f>
        <v>High Price</v>
      </c>
      <c r="K30" s="15" t="str">
        <f>IF(Cleaned_Data[[#This Row],[Review]]="","Missing",IF(Cleaned_Data[[#This Row],[Review]]&gt;=Engagement_Threshold,"Strong Engagement","Weak Engagement"))</f>
        <v>Strong Engagement</v>
      </c>
      <c r="L30" s="15" t="str">
        <f>IF(OR(Cleaned_Data[[#This Row],[Discount]]="",Cleaned_Data[[#This Row],[Rating]]=""),"Missing",IF(AND(Cleaned_Data[[#This Row],[Discount Category]]="High Discount",Cleaned_Data[[#This Row],[Rating Category]]="Poor"),"Flag","OK"))</f>
        <v>OK</v>
      </c>
      <c r="M30" s="15" t="str">
        <f>IF(OR(Cleaned_Data[[#This Row],[Discount]]="",Cleaned_Data[[#This Row],[Review]]=""),"Missing",IF(AND(Cleaned_Data[[#This Row],[Discount Category]]="High Discount",Cleaned_Data[[#This Row],[Engagement]]="Weak Engagement"),"Flag","OK"))</f>
        <v>OK</v>
      </c>
      <c r="N30" s="15" t="str">
        <f>IF(OR(Cleaned_Data[[#This Row],[Review]]="",Cleaned_Data[[#This Row],[Rating]]=""),"Missing",IF(AND(Cleaned_Data[[#This Row],[Engagement]]="Strong Engagement",Cleaned_Data[[#This Row],[Rating Category]]="Average"),"Flag","OK"))</f>
        <v>Flag</v>
      </c>
      <c r="O30" s="15" t="str">
        <f>IF(OR(Cleaned_Data[[#This Row],[Review]]="",Cleaned_Data[[#This Row],[Rating]]=""),"Missing",IF(AND(Cleaned_Data[[#This Row],[Engagement]]="Strong Engagement",Cleaned_Data[[#This Row],[Rating Category]]="Excellent"),"Flag","OK"))</f>
        <v>OK</v>
      </c>
      <c r="P30" s="15" t="str">
        <f>IF(Cleaned_Data[[#This Row],[Rating]]="","Missing Rating","Has Rating")</f>
        <v>Has Rating</v>
      </c>
      <c r="Q30" s="7">
        <f>IFERROR(
(Cleaned_Data[[#This Row],[Old Price]]-Cleaned_Data[[#This Row],[Current Price]])/Cleaned_Data[[#This Row],[Old Price]],
""
)</f>
        <v>0.2965186074429772</v>
      </c>
      <c r="R30" s="7" t="str">
        <f>IF( Cleaned_Data[[#This Row],[Discount]] -
 Cleaned_Data[[#This Row],[Calculated Discount]]&gt;2%,
"Check",
"OK"
)</f>
        <v>OK</v>
      </c>
      <c r="S30" t="str">
        <f>IF(OR(Cleaned_Data[[#This Row],[Rating]]&lt;0,Cleaned_Data[[#This Row],[Rating]]&gt;5),"Check rating","OK")</f>
        <v>OK</v>
      </c>
      <c r="T30" t="str">
        <f>IF(OR(Cleaned_Data[[#This Row],[Discount]]&lt;0,Cleaned_Data[[#This Row],[Discount]]&gt;1),"Check discount","OK")</f>
        <v>OK</v>
      </c>
      <c r="U30" t="str">
        <f>IF(Cleaned_Data[[#This Row],[Current Price]]&gt;Cleaned_Data[[#This Row],[Old Price]],"Check prices","OK")</f>
        <v>OK</v>
      </c>
    </row>
    <row r="31" spans="1:21">
      <c r="A31" t="s">
        <v>100</v>
      </c>
      <c r="B31" s="8">
        <v>2200</v>
      </c>
      <c r="C31" s="8">
        <v>4080</v>
      </c>
      <c r="D31" s="7">
        <v>0.46</v>
      </c>
      <c r="G31">
        <f>Cleaned_Data[[#This Row],[Old Price]]-Cleaned_Data[[#This Row],[Current Price]]</f>
        <v>1880</v>
      </c>
      <c r="H31" s="15" t="str">
        <f>IF(Cleaned_Data[[#This Row],[Rating]]="","Missing",IF(Cleaned_Data[[#This Row],[Rating]]&lt;3,"Poor",IF(Cleaned_Data[[#This Row],[Rating]]&lt;=4.5,"Average","Excellent")))</f>
        <v>Missing</v>
      </c>
      <c r="I31" s="15" t="str">
        <f>IF(
Cleaned_Data[[#This Row],[Discount]]="",
"Missing",
IF(
Cleaned_Data[[#This Row],[Discount]]&lt;20%,
"Low Discount",
IF(
Cleaned_Data[[#This Row],[Discount]]&lt;=40%,
"Medium Discount",
"High Discount"
)
)
)</f>
        <v>High Discount</v>
      </c>
      <c r="J31" s="15" t="str">
        <f>IF(
Cleaned_Data[[#This Row],[Current Price]]="",
"Missing",
IF(
Cleaned_Data[[#This Row],[Current Price]]&lt;=Analysis!$B$3,
"Low Price",
IF(
Cleaned_Data[[#This Row],[Current Price]]&lt;=Analysis!$B$4,
"Medium Price",
"High Price"
)
)
)</f>
        <v>High Price</v>
      </c>
      <c r="K31" s="15" t="str">
        <f>IF(Cleaned_Data[[#This Row],[Review]]="","Missing",IF(Cleaned_Data[[#This Row],[Review]]&gt;=Engagement_Threshold,"Strong Engagement","Weak Engagement"))</f>
        <v>Missing</v>
      </c>
      <c r="L31" s="15" t="str">
        <f>IF(OR(Cleaned_Data[[#This Row],[Discount]]="",Cleaned_Data[[#This Row],[Rating]]=""),"Missing",IF(AND(Cleaned_Data[[#This Row],[Discount Category]]="High Discount",Cleaned_Data[[#This Row],[Rating Category]]="Poor"),"Flag","OK"))</f>
        <v>Missing</v>
      </c>
      <c r="M31" s="15" t="str">
        <f>IF(OR(Cleaned_Data[[#This Row],[Discount]]="",Cleaned_Data[[#This Row],[Review]]=""),"Missing",IF(AND(Cleaned_Data[[#This Row],[Discount Category]]="High Discount",Cleaned_Data[[#This Row],[Engagement]]="Weak Engagement"),"Flag","OK"))</f>
        <v>Missing</v>
      </c>
      <c r="N31" s="15" t="str">
        <f>IF(OR(Cleaned_Data[[#This Row],[Review]]="",Cleaned_Data[[#This Row],[Rating]]=""),"Missing",IF(AND(Cleaned_Data[[#This Row],[Engagement]]="Strong Engagement",Cleaned_Data[[#This Row],[Rating Category]]="Average"),"Flag","OK"))</f>
        <v>Missing</v>
      </c>
      <c r="O31" s="15" t="str">
        <f>IF(OR(Cleaned_Data[[#This Row],[Review]]="",Cleaned_Data[[#This Row],[Rating]]=""),"Missing",IF(AND(Cleaned_Data[[#This Row],[Engagement]]="Strong Engagement",Cleaned_Data[[#This Row],[Rating Category]]="Excellent"),"Flag","OK"))</f>
        <v>Missing</v>
      </c>
      <c r="P31" s="15" t="str">
        <f>IF(Cleaned_Data[[#This Row],[Rating]]="","Missing Rating","Has Rating")</f>
        <v>Missing Rating</v>
      </c>
      <c r="Q31" s="7">
        <f>IFERROR(
(Cleaned_Data[[#This Row],[Old Price]]-Cleaned_Data[[#This Row],[Current Price]])/Cleaned_Data[[#This Row],[Old Price]],
""
)</f>
        <v>0.46078431372549017</v>
      </c>
      <c r="R31" s="7" t="str">
        <f>IF( Cleaned_Data[[#This Row],[Discount]] -
 Cleaned_Data[[#This Row],[Calculated Discount]]&gt;2%,
"Check",
"OK"
)</f>
        <v>OK</v>
      </c>
      <c r="S31" t="str">
        <f>IF(OR(Cleaned_Data[[#This Row],[Rating]]&lt;0,Cleaned_Data[[#This Row],[Rating]]&gt;5),"Check rating","OK")</f>
        <v>OK</v>
      </c>
      <c r="T31" t="str">
        <f>IF(OR(Cleaned_Data[[#This Row],[Discount]]&lt;0,Cleaned_Data[[#This Row],[Discount]]&gt;1),"Check discount","OK")</f>
        <v>OK</v>
      </c>
      <c r="U31" t="str">
        <f>IF(Cleaned_Data[[#This Row],[Current Price]]&gt;Cleaned_Data[[#This Row],[Old Price]],"Check prices","OK")</f>
        <v>OK</v>
      </c>
    </row>
    <row r="32" spans="1:21">
      <c r="A32" t="s">
        <v>103</v>
      </c>
      <c r="B32" s="8">
        <v>185</v>
      </c>
      <c r="C32" s="8">
        <v>382</v>
      </c>
      <c r="D32" s="7">
        <v>0.52</v>
      </c>
      <c r="E32">
        <v>9</v>
      </c>
      <c r="F32">
        <v>4.3</v>
      </c>
      <c r="G32">
        <f>Cleaned_Data[[#This Row],[Old Price]]-Cleaned_Data[[#This Row],[Current Price]]</f>
        <v>197</v>
      </c>
      <c r="H32" s="15" t="str">
        <f>IF(Cleaned_Data[[#This Row],[Rating]]="","Missing",IF(Cleaned_Data[[#This Row],[Rating]]&lt;3,"Poor",IF(Cleaned_Data[[#This Row],[Rating]]&lt;=4.5,"Average","Excellent")))</f>
        <v>Average</v>
      </c>
      <c r="I32" s="15" t="str">
        <f>IF(
Cleaned_Data[[#This Row],[Discount]]="",
"Missing",
IF(
Cleaned_Data[[#This Row],[Discount]]&lt;20%,
"Low Discount",
IF(
Cleaned_Data[[#This Row],[Discount]]&lt;=40%,
"Medium Discount",
"High Discount"
)
)
)</f>
        <v>High Discount</v>
      </c>
      <c r="J32" s="15" t="str">
        <f>IF(
Cleaned_Data[[#This Row],[Current Price]]="",
"Missing",
IF(
Cleaned_Data[[#This Row],[Current Price]]&lt;=Analysis!$B$3,
"Low Price",
IF(
Cleaned_Data[[#This Row],[Current Price]]&lt;=Analysis!$B$4,
"Medium Price",
"High Price"
)
)
)</f>
        <v>Low Price</v>
      </c>
      <c r="K32" s="15" t="str">
        <f>IF(Cleaned_Data[[#This Row],[Review]]="","Missing",IF(Cleaned_Data[[#This Row],[Review]]&gt;=Engagement_Threshold,"Strong Engagement","Weak Engagement"))</f>
        <v>Weak Engagement</v>
      </c>
      <c r="L32" s="15" t="str">
        <f>IF(OR(Cleaned_Data[[#This Row],[Discount]]="",Cleaned_Data[[#This Row],[Rating]]=""),"Missing",IF(AND(Cleaned_Data[[#This Row],[Discount Category]]="High Discount",Cleaned_Data[[#This Row],[Rating Category]]="Poor"),"Flag","OK"))</f>
        <v>OK</v>
      </c>
      <c r="M32" s="15" t="str">
        <f>IF(OR(Cleaned_Data[[#This Row],[Discount]]="",Cleaned_Data[[#This Row],[Review]]=""),"Missing",IF(AND(Cleaned_Data[[#This Row],[Discount Category]]="High Discount",Cleaned_Data[[#This Row],[Engagement]]="Weak Engagement"),"Flag","OK"))</f>
        <v>Flag</v>
      </c>
      <c r="N32" s="15" t="str">
        <f>IF(OR(Cleaned_Data[[#This Row],[Review]]="",Cleaned_Data[[#This Row],[Rating]]=""),"Missing",IF(AND(Cleaned_Data[[#This Row],[Engagement]]="Strong Engagement",Cleaned_Data[[#This Row],[Rating Category]]="Average"),"Flag","OK"))</f>
        <v>OK</v>
      </c>
      <c r="O32" s="15" t="str">
        <f>IF(OR(Cleaned_Data[[#This Row],[Review]]="",Cleaned_Data[[#This Row],[Rating]]=""),"Missing",IF(AND(Cleaned_Data[[#This Row],[Engagement]]="Strong Engagement",Cleaned_Data[[#This Row],[Rating Category]]="Excellent"),"Flag","OK"))</f>
        <v>OK</v>
      </c>
      <c r="P32" s="15" t="str">
        <f>IF(Cleaned_Data[[#This Row],[Rating]]="","Missing Rating","Has Rating")</f>
        <v>Has Rating</v>
      </c>
      <c r="Q32" s="7">
        <f>IFERROR(
(Cleaned_Data[[#This Row],[Old Price]]-Cleaned_Data[[#This Row],[Current Price]])/Cleaned_Data[[#This Row],[Old Price]],
""
)</f>
        <v>0.51570680628272247</v>
      </c>
      <c r="R32" s="7" t="str">
        <f>IF( Cleaned_Data[[#This Row],[Discount]] -
 Cleaned_Data[[#This Row],[Calculated Discount]]&gt;2%,
"Check",
"OK"
)</f>
        <v>OK</v>
      </c>
      <c r="S32" t="str">
        <f>IF(OR(Cleaned_Data[[#This Row],[Rating]]&lt;0,Cleaned_Data[[#This Row],[Rating]]&gt;5),"Check rating","OK")</f>
        <v>OK</v>
      </c>
      <c r="T32" t="str">
        <f>IF(OR(Cleaned_Data[[#This Row],[Discount]]&lt;0,Cleaned_Data[[#This Row],[Discount]]&gt;1),"Check discount","OK")</f>
        <v>OK</v>
      </c>
      <c r="U32" t="str">
        <f>IF(Cleaned_Data[[#This Row],[Current Price]]&gt;Cleaned_Data[[#This Row],[Old Price]],"Check prices","OK")</f>
        <v>OK</v>
      </c>
    </row>
    <row r="33" spans="1:21">
      <c r="A33" t="s">
        <v>106</v>
      </c>
      <c r="B33" s="8">
        <v>980</v>
      </c>
      <c r="C33" s="8">
        <v>1490</v>
      </c>
      <c r="D33" s="7">
        <v>0.34</v>
      </c>
      <c r="E33">
        <v>12</v>
      </c>
      <c r="F33">
        <v>4.7</v>
      </c>
      <c r="G33">
        <f>Cleaned_Data[[#This Row],[Old Price]]-Cleaned_Data[[#This Row],[Current Price]]</f>
        <v>510</v>
      </c>
      <c r="H33" s="15" t="str">
        <f>IF(Cleaned_Data[[#This Row],[Rating]]="","Missing",IF(Cleaned_Data[[#This Row],[Rating]]&lt;3,"Poor",IF(Cleaned_Data[[#This Row],[Rating]]&lt;=4.5,"Average","Excellent")))</f>
        <v>Excellent</v>
      </c>
      <c r="I33" s="15" t="str">
        <f>IF(
Cleaned_Data[[#This Row],[Discount]]="",
"Missing",
IF(
Cleaned_Data[[#This Row],[Discount]]&lt;20%,
"Low Discount",
IF(
Cleaned_Data[[#This Row],[Discount]]&lt;=40%,
"Medium Discount",
"High Discount"
)
)
)</f>
        <v>Medium Discount</v>
      </c>
      <c r="J33" s="15" t="str">
        <f>IF(
Cleaned_Data[[#This Row],[Current Price]]="",
"Missing",
IF(
Cleaned_Data[[#This Row],[Current Price]]&lt;=Analysis!$B$3,
"Low Price",
IF(
Cleaned_Data[[#This Row],[Current Price]]&lt;=Analysis!$B$4,
"Medium Price",
"High Price"
)
)
)</f>
        <v>Medium Price</v>
      </c>
      <c r="K33" s="15" t="str">
        <f>IF(Cleaned_Data[[#This Row],[Review]]="","Missing",IF(Cleaned_Data[[#This Row],[Review]]&gt;=Engagement_Threshold,"Strong Engagement","Weak Engagement"))</f>
        <v>Weak Engagement</v>
      </c>
      <c r="L33" s="15" t="str">
        <f>IF(OR(Cleaned_Data[[#This Row],[Discount]]="",Cleaned_Data[[#This Row],[Rating]]=""),"Missing",IF(AND(Cleaned_Data[[#This Row],[Discount Category]]="High Discount",Cleaned_Data[[#This Row],[Rating Category]]="Poor"),"Flag","OK"))</f>
        <v>OK</v>
      </c>
      <c r="M33" s="15" t="str">
        <f>IF(OR(Cleaned_Data[[#This Row],[Discount]]="",Cleaned_Data[[#This Row],[Review]]=""),"Missing",IF(AND(Cleaned_Data[[#This Row],[Discount Category]]="High Discount",Cleaned_Data[[#This Row],[Engagement]]="Weak Engagement"),"Flag","OK"))</f>
        <v>OK</v>
      </c>
      <c r="N33" s="15" t="str">
        <f>IF(OR(Cleaned_Data[[#This Row],[Review]]="",Cleaned_Data[[#This Row],[Rating]]=""),"Missing",IF(AND(Cleaned_Data[[#This Row],[Engagement]]="Strong Engagement",Cleaned_Data[[#This Row],[Rating Category]]="Average"),"Flag","OK"))</f>
        <v>OK</v>
      </c>
      <c r="O33" s="15" t="str">
        <f>IF(OR(Cleaned_Data[[#This Row],[Review]]="",Cleaned_Data[[#This Row],[Rating]]=""),"Missing",IF(AND(Cleaned_Data[[#This Row],[Engagement]]="Strong Engagement",Cleaned_Data[[#This Row],[Rating Category]]="Excellent"),"Flag","OK"))</f>
        <v>OK</v>
      </c>
      <c r="P33" s="15" t="str">
        <f>IF(Cleaned_Data[[#This Row],[Rating]]="","Missing Rating","Has Rating")</f>
        <v>Has Rating</v>
      </c>
      <c r="Q33" s="7">
        <f>IFERROR(
(Cleaned_Data[[#This Row],[Old Price]]-Cleaned_Data[[#This Row],[Current Price]])/Cleaned_Data[[#This Row],[Old Price]],
""
)</f>
        <v>0.34228187919463088</v>
      </c>
      <c r="R33" s="7" t="str">
        <f>IF( Cleaned_Data[[#This Row],[Discount]] -
 Cleaned_Data[[#This Row],[Calculated Discount]]&gt;2%,
"Check",
"OK"
)</f>
        <v>OK</v>
      </c>
      <c r="S33" t="str">
        <f>IF(OR(Cleaned_Data[[#This Row],[Rating]]&lt;0,Cleaned_Data[[#This Row],[Rating]]&gt;5),"Check rating","OK")</f>
        <v>OK</v>
      </c>
      <c r="T33" t="str">
        <f>IF(OR(Cleaned_Data[[#This Row],[Discount]]&lt;0,Cleaned_Data[[#This Row],[Discount]]&gt;1),"Check discount","OK")</f>
        <v>OK</v>
      </c>
      <c r="U33" t="str">
        <f>IF(Cleaned_Data[[#This Row],[Current Price]]&gt;Cleaned_Data[[#This Row],[Old Price]],"Check prices","OK")</f>
        <v>OK</v>
      </c>
    </row>
    <row r="34" spans="1:21">
      <c r="A34" t="s">
        <v>109</v>
      </c>
      <c r="B34" s="8">
        <v>1820</v>
      </c>
      <c r="C34" s="8">
        <v>3490</v>
      </c>
      <c r="D34" s="7">
        <v>0.48</v>
      </c>
      <c r="E34">
        <v>9</v>
      </c>
      <c r="F34">
        <v>4.3</v>
      </c>
      <c r="G34">
        <f>Cleaned_Data[[#This Row],[Old Price]]-Cleaned_Data[[#This Row],[Current Price]]</f>
        <v>1670</v>
      </c>
      <c r="H34" s="15" t="str">
        <f>IF(Cleaned_Data[[#This Row],[Rating]]="","Missing",IF(Cleaned_Data[[#This Row],[Rating]]&lt;3,"Poor",IF(Cleaned_Data[[#This Row],[Rating]]&lt;=4.5,"Average","Excellent")))</f>
        <v>Average</v>
      </c>
      <c r="I34" s="15" t="str">
        <f>IF(
Cleaned_Data[[#This Row],[Discount]]="",
"Missing",
IF(
Cleaned_Data[[#This Row],[Discount]]&lt;20%,
"Low Discount",
IF(
Cleaned_Data[[#This Row],[Discount]]&lt;=40%,
"Medium Discount",
"High Discount"
)
)
)</f>
        <v>High Discount</v>
      </c>
      <c r="J34" s="15" t="str">
        <f>IF(
Cleaned_Data[[#This Row],[Current Price]]="",
"Missing",
IF(
Cleaned_Data[[#This Row],[Current Price]]&lt;=Analysis!$B$3,
"Low Price",
IF(
Cleaned_Data[[#This Row],[Current Price]]&lt;=Analysis!$B$4,
"Medium Price",
"High Price"
)
)
)</f>
        <v>High Price</v>
      </c>
      <c r="K34" s="15" t="str">
        <f>IF(Cleaned_Data[[#This Row],[Review]]="","Missing",IF(Cleaned_Data[[#This Row],[Review]]&gt;=Engagement_Threshold,"Strong Engagement","Weak Engagement"))</f>
        <v>Weak Engagement</v>
      </c>
      <c r="L34" s="15" t="str">
        <f>IF(OR(Cleaned_Data[[#This Row],[Discount]]="",Cleaned_Data[[#This Row],[Rating]]=""),"Missing",IF(AND(Cleaned_Data[[#This Row],[Discount Category]]="High Discount",Cleaned_Data[[#This Row],[Rating Category]]="Poor"),"Flag","OK"))</f>
        <v>OK</v>
      </c>
      <c r="M34" s="15" t="str">
        <f>IF(OR(Cleaned_Data[[#This Row],[Discount]]="",Cleaned_Data[[#This Row],[Review]]=""),"Missing",IF(AND(Cleaned_Data[[#This Row],[Discount Category]]="High Discount",Cleaned_Data[[#This Row],[Engagement]]="Weak Engagement"),"Flag","OK"))</f>
        <v>Flag</v>
      </c>
      <c r="N34" s="15" t="str">
        <f>IF(OR(Cleaned_Data[[#This Row],[Review]]="",Cleaned_Data[[#This Row],[Rating]]=""),"Missing",IF(AND(Cleaned_Data[[#This Row],[Engagement]]="Strong Engagement",Cleaned_Data[[#This Row],[Rating Category]]="Average"),"Flag","OK"))</f>
        <v>OK</v>
      </c>
      <c r="O34" s="15" t="str">
        <f>IF(OR(Cleaned_Data[[#This Row],[Review]]="",Cleaned_Data[[#This Row],[Rating]]=""),"Missing",IF(AND(Cleaned_Data[[#This Row],[Engagement]]="Strong Engagement",Cleaned_Data[[#This Row],[Rating Category]]="Excellent"),"Flag","OK"))</f>
        <v>OK</v>
      </c>
      <c r="P34" s="15" t="str">
        <f>IF(Cleaned_Data[[#This Row],[Rating]]="","Missing Rating","Has Rating")</f>
        <v>Has Rating</v>
      </c>
      <c r="Q34" s="7">
        <f>IFERROR(
(Cleaned_Data[[#This Row],[Old Price]]-Cleaned_Data[[#This Row],[Current Price]])/Cleaned_Data[[#This Row],[Old Price]],
""
)</f>
        <v>0.47851002865329512</v>
      </c>
      <c r="R34" s="7" t="str">
        <f>IF( Cleaned_Data[[#This Row],[Discount]] -
 Cleaned_Data[[#This Row],[Calculated Discount]]&gt;2%,
"Check",
"OK"
)</f>
        <v>OK</v>
      </c>
      <c r="S34" t="str">
        <f>IF(OR(Cleaned_Data[[#This Row],[Rating]]&lt;0,Cleaned_Data[[#This Row],[Rating]]&gt;5),"Check rating","OK")</f>
        <v>OK</v>
      </c>
      <c r="T34" t="str">
        <f>IF(OR(Cleaned_Data[[#This Row],[Discount]]&lt;0,Cleaned_Data[[#This Row],[Discount]]&gt;1),"Check discount","OK")</f>
        <v>OK</v>
      </c>
      <c r="U34" t="str">
        <f>IF(Cleaned_Data[[#This Row],[Current Price]]&gt;Cleaned_Data[[#This Row],[Old Price]],"Check prices","OK")</f>
        <v>OK</v>
      </c>
    </row>
    <row r="35" spans="1:21">
      <c r="A35" t="s">
        <v>112</v>
      </c>
      <c r="B35" s="8">
        <v>1940</v>
      </c>
      <c r="C35" s="8">
        <v>2650</v>
      </c>
      <c r="D35" s="7">
        <v>0.27</v>
      </c>
      <c r="E35">
        <v>20</v>
      </c>
      <c r="F35">
        <v>4.7</v>
      </c>
      <c r="G35">
        <f>Cleaned_Data[[#This Row],[Old Price]]-Cleaned_Data[[#This Row],[Current Price]]</f>
        <v>710</v>
      </c>
      <c r="H35" s="15" t="str">
        <f>IF(Cleaned_Data[[#This Row],[Rating]]="","Missing",IF(Cleaned_Data[[#This Row],[Rating]]&lt;3,"Poor",IF(Cleaned_Data[[#This Row],[Rating]]&lt;=4.5,"Average","Excellent")))</f>
        <v>Excellent</v>
      </c>
      <c r="I35" s="15" t="str">
        <f>IF(
Cleaned_Data[[#This Row],[Discount]]="",
"Missing",
IF(
Cleaned_Data[[#This Row],[Discount]]&lt;20%,
"Low Discount",
IF(
Cleaned_Data[[#This Row],[Discount]]&lt;=40%,
"Medium Discount",
"High Discount"
)
)
)</f>
        <v>Medium Discount</v>
      </c>
      <c r="J35" s="15" t="str">
        <f>IF(
Cleaned_Data[[#This Row],[Current Price]]="",
"Missing",
IF(
Cleaned_Data[[#This Row],[Current Price]]&lt;=Analysis!$B$3,
"Low Price",
IF(
Cleaned_Data[[#This Row],[Current Price]]&lt;=Analysis!$B$4,
"Medium Price",
"High Price"
)
)
)</f>
        <v>High Price</v>
      </c>
      <c r="K35" s="15" t="str">
        <f>IF(Cleaned_Data[[#This Row],[Review]]="","Missing",IF(Cleaned_Data[[#This Row],[Review]]&gt;=Engagement_Threshold,"Strong Engagement","Weak Engagement"))</f>
        <v>Strong Engagement</v>
      </c>
      <c r="L35" s="15" t="str">
        <f>IF(OR(Cleaned_Data[[#This Row],[Discount]]="",Cleaned_Data[[#This Row],[Rating]]=""),"Missing",IF(AND(Cleaned_Data[[#This Row],[Discount Category]]="High Discount",Cleaned_Data[[#This Row],[Rating Category]]="Poor"),"Flag","OK"))</f>
        <v>OK</v>
      </c>
      <c r="M35" s="15" t="str">
        <f>IF(OR(Cleaned_Data[[#This Row],[Discount]]="",Cleaned_Data[[#This Row],[Review]]=""),"Missing",IF(AND(Cleaned_Data[[#This Row],[Discount Category]]="High Discount",Cleaned_Data[[#This Row],[Engagement]]="Weak Engagement"),"Flag","OK"))</f>
        <v>OK</v>
      </c>
      <c r="N35" s="15" t="str">
        <f>IF(OR(Cleaned_Data[[#This Row],[Review]]="",Cleaned_Data[[#This Row],[Rating]]=""),"Missing",IF(AND(Cleaned_Data[[#This Row],[Engagement]]="Strong Engagement",Cleaned_Data[[#This Row],[Rating Category]]="Average"),"Flag","OK"))</f>
        <v>OK</v>
      </c>
      <c r="O35" s="15" t="str">
        <f>IF(OR(Cleaned_Data[[#This Row],[Review]]="",Cleaned_Data[[#This Row],[Rating]]=""),"Missing",IF(AND(Cleaned_Data[[#This Row],[Engagement]]="Strong Engagement",Cleaned_Data[[#This Row],[Rating Category]]="Excellent"),"Flag","OK"))</f>
        <v>Flag</v>
      </c>
      <c r="P35" s="15" t="str">
        <f>IF(Cleaned_Data[[#This Row],[Rating]]="","Missing Rating","Has Rating")</f>
        <v>Has Rating</v>
      </c>
      <c r="Q35" s="7">
        <f>IFERROR(
(Cleaned_Data[[#This Row],[Old Price]]-Cleaned_Data[[#This Row],[Current Price]])/Cleaned_Data[[#This Row],[Old Price]],
""
)</f>
        <v>0.26792452830188679</v>
      </c>
      <c r="R35" s="7" t="str">
        <f>IF( Cleaned_Data[[#This Row],[Discount]] -
 Cleaned_Data[[#This Row],[Calculated Discount]]&gt;2%,
"Check",
"OK"
)</f>
        <v>OK</v>
      </c>
      <c r="S35" t="str">
        <f>IF(OR(Cleaned_Data[[#This Row],[Rating]]&lt;0,Cleaned_Data[[#This Row],[Rating]]&gt;5),"Check rating","OK")</f>
        <v>OK</v>
      </c>
      <c r="T35" t="str">
        <f>IF(OR(Cleaned_Data[[#This Row],[Discount]]&lt;0,Cleaned_Data[[#This Row],[Discount]]&gt;1),"Check discount","OK")</f>
        <v>OK</v>
      </c>
      <c r="U35" t="str">
        <f>IF(Cleaned_Data[[#This Row],[Current Price]]&gt;Cleaned_Data[[#This Row],[Old Price]],"Check prices","OK")</f>
        <v>OK</v>
      </c>
    </row>
    <row r="36" spans="1:21">
      <c r="A36" t="s">
        <v>115</v>
      </c>
      <c r="B36" s="8">
        <v>1980</v>
      </c>
      <c r="C36" s="8">
        <v>2699</v>
      </c>
      <c r="D36" s="7">
        <v>0.27</v>
      </c>
      <c r="E36">
        <v>32</v>
      </c>
      <c r="F36">
        <v>4.5</v>
      </c>
      <c r="G36">
        <f>Cleaned_Data[[#This Row],[Old Price]]-Cleaned_Data[[#This Row],[Current Price]]</f>
        <v>719</v>
      </c>
      <c r="H36" s="15" t="str">
        <f>IF(Cleaned_Data[[#This Row],[Rating]]="","Missing",IF(Cleaned_Data[[#This Row],[Rating]]&lt;3,"Poor",IF(Cleaned_Data[[#This Row],[Rating]]&lt;=4.5,"Average","Excellent")))</f>
        <v>Average</v>
      </c>
      <c r="I36" s="15" t="str">
        <f>IF(
Cleaned_Data[[#This Row],[Discount]]="",
"Missing",
IF(
Cleaned_Data[[#This Row],[Discount]]&lt;20%,
"Low Discount",
IF(
Cleaned_Data[[#This Row],[Discount]]&lt;=40%,
"Medium Discount",
"High Discount"
)
)
)</f>
        <v>Medium Discount</v>
      </c>
      <c r="J36" s="15" t="str">
        <f>IF(
Cleaned_Data[[#This Row],[Current Price]]="",
"Missing",
IF(
Cleaned_Data[[#This Row],[Current Price]]&lt;=Analysis!$B$3,
"Low Price",
IF(
Cleaned_Data[[#This Row],[Current Price]]&lt;=Analysis!$B$4,
"Medium Price",
"High Price"
)
)
)</f>
        <v>High Price</v>
      </c>
      <c r="K36" s="15" t="str">
        <f>IF(Cleaned_Data[[#This Row],[Review]]="","Missing",IF(Cleaned_Data[[#This Row],[Review]]&gt;=Engagement_Threshold,"Strong Engagement","Weak Engagement"))</f>
        <v>Strong Engagement</v>
      </c>
      <c r="L36" s="15" t="str">
        <f>IF(OR(Cleaned_Data[[#This Row],[Discount]]="",Cleaned_Data[[#This Row],[Rating]]=""),"Missing",IF(AND(Cleaned_Data[[#This Row],[Discount Category]]="High Discount",Cleaned_Data[[#This Row],[Rating Category]]="Poor"),"Flag","OK"))</f>
        <v>OK</v>
      </c>
      <c r="M36" s="15" t="str">
        <f>IF(OR(Cleaned_Data[[#This Row],[Discount]]="",Cleaned_Data[[#This Row],[Review]]=""),"Missing",IF(AND(Cleaned_Data[[#This Row],[Discount Category]]="High Discount",Cleaned_Data[[#This Row],[Engagement]]="Weak Engagement"),"Flag","OK"))</f>
        <v>OK</v>
      </c>
      <c r="N36" s="15" t="str">
        <f>IF(OR(Cleaned_Data[[#This Row],[Review]]="",Cleaned_Data[[#This Row],[Rating]]=""),"Missing",IF(AND(Cleaned_Data[[#This Row],[Engagement]]="Strong Engagement",Cleaned_Data[[#This Row],[Rating Category]]="Average"),"Flag","OK"))</f>
        <v>Flag</v>
      </c>
      <c r="O36" s="15" t="str">
        <f>IF(OR(Cleaned_Data[[#This Row],[Review]]="",Cleaned_Data[[#This Row],[Rating]]=""),"Missing",IF(AND(Cleaned_Data[[#This Row],[Engagement]]="Strong Engagement",Cleaned_Data[[#This Row],[Rating Category]]="Excellent"),"Flag","OK"))</f>
        <v>OK</v>
      </c>
      <c r="P36" s="15" t="str">
        <f>IF(Cleaned_Data[[#This Row],[Rating]]="","Missing Rating","Has Rating")</f>
        <v>Has Rating</v>
      </c>
      <c r="Q36" s="7">
        <f>IFERROR(
(Cleaned_Data[[#This Row],[Old Price]]-Cleaned_Data[[#This Row],[Current Price]])/Cleaned_Data[[#This Row],[Old Price]],
""
)</f>
        <v>0.26639496109670247</v>
      </c>
      <c r="R36" s="7" t="str">
        <f>IF( Cleaned_Data[[#This Row],[Discount]] -
 Cleaned_Data[[#This Row],[Calculated Discount]]&gt;2%,
"Check",
"OK"
)</f>
        <v>OK</v>
      </c>
      <c r="S36" t="str">
        <f>IF(OR(Cleaned_Data[[#This Row],[Rating]]&lt;0,Cleaned_Data[[#This Row],[Rating]]&gt;5),"Check rating","OK")</f>
        <v>OK</v>
      </c>
      <c r="T36" t="str">
        <f>IF(OR(Cleaned_Data[[#This Row],[Discount]]&lt;0,Cleaned_Data[[#This Row],[Discount]]&gt;1),"Check discount","OK")</f>
        <v>OK</v>
      </c>
      <c r="U36" t="str">
        <f>IF(Cleaned_Data[[#This Row],[Current Price]]&gt;Cleaned_Data[[#This Row],[Old Price]],"Check prices","OK")</f>
        <v>OK</v>
      </c>
    </row>
    <row r="37" spans="1:21">
      <c r="A37" t="s">
        <v>118</v>
      </c>
      <c r="B37" s="8">
        <v>1620</v>
      </c>
      <c r="C37" s="8">
        <v>2690</v>
      </c>
      <c r="D37" s="7">
        <v>0.4</v>
      </c>
      <c r="E37">
        <v>1</v>
      </c>
      <c r="F37">
        <v>5</v>
      </c>
      <c r="G37">
        <f>Cleaned_Data[[#This Row],[Old Price]]-Cleaned_Data[[#This Row],[Current Price]]</f>
        <v>1070</v>
      </c>
      <c r="H37" s="15" t="str">
        <f>IF(Cleaned_Data[[#This Row],[Rating]]="","Missing",IF(Cleaned_Data[[#This Row],[Rating]]&lt;3,"Poor",IF(Cleaned_Data[[#This Row],[Rating]]&lt;=4.5,"Average","Excellent")))</f>
        <v>Excellent</v>
      </c>
      <c r="I37" s="15" t="str">
        <f>IF(
Cleaned_Data[[#This Row],[Discount]]="",
"Missing",
IF(
Cleaned_Data[[#This Row],[Discount]]&lt;20%,
"Low Discount",
IF(
Cleaned_Data[[#This Row],[Discount]]&lt;=40%,
"Medium Discount",
"High Discount"
)
)
)</f>
        <v>Medium Discount</v>
      </c>
      <c r="J37" s="15" t="str">
        <f>IF(
Cleaned_Data[[#This Row],[Current Price]]="",
"Missing",
IF(
Cleaned_Data[[#This Row],[Current Price]]&lt;=Analysis!$B$3,
"Low Price",
IF(
Cleaned_Data[[#This Row],[Current Price]]&lt;=Analysis!$B$4,
"Medium Price",
"High Price"
)
)
)</f>
        <v>Medium Price</v>
      </c>
      <c r="K37" s="15" t="str">
        <f>IF(Cleaned_Data[[#This Row],[Review]]="","Missing",IF(Cleaned_Data[[#This Row],[Review]]&gt;=Engagement_Threshold,"Strong Engagement","Weak Engagement"))</f>
        <v>Weak Engagement</v>
      </c>
      <c r="L37" s="15" t="str">
        <f>IF(OR(Cleaned_Data[[#This Row],[Discount]]="",Cleaned_Data[[#This Row],[Rating]]=""),"Missing",IF(AND(Cleaned_Data[[#This Row],[Discount Category]]="High Discount",Cleaned_Data[[#This Row],[Rating Category]]="Poor"),"Flag","OK"))</f>
        <v>OK</v>
      </c>
      <c r="M37" s="15" t="str">
        <f>IF(OR(Cleaned_Data[[#This Row],[Discount]]="",Cleaned_Data[[#This Row],[Review]]=""),"Missing",IF(AND(Cleaned_Data[[#This Row],[Discount Category]]="High Discount",Cleaned_Data[[#This Row],[Engagement]]="Weak Engagement"),"Flag","OK"))</f>
        <v>OK</v>
      </c>
      <c r="N37" s="15" t="str">
        <f>IF(OR(Cleaned_Data[[#This Row],[Review]]="",Cleaned_Data[[#This Row],[Rating]]=""),"Missing",IF(AND(Cleaned_Data[[#This Row],[Engagement]]="Strong Engagement",Cleaned_Data[[#This Row],[Rating Category]]="Average"),"Flag","OK"))</f>
        <v>OK</v>
      </c>
      <c r="O37" s="15" t="str">
        <f>IF(OR(Cleaned_Data[[#This Row],[Review]]="",Cleaned_Data[[#This Row],[Rating]]=""),"Missing",IF(AND(Cleaned_Data[[#This Row],[Engagement]]="Strong Engagement",Cleaned_Data[[#This Row],[Rating Category]]="Excellent"),"Flag","OK"))</f>
        <v>OK</v>
      </c>
      <c r="P37" s="15" t="str">
        <f>IF(Cleaned_Data[[#This Row],[Rating]]="","Missing Rating","Has Rating")</f>
        <v>Has Rating</v>
      </c>
      <c r="Q37" s="7">
        <f>IFERROR(
(Cleaned_Data[[#This Row],[Old Price]]-Cleaned_Data[[#This Row],[Current Price]])/Cleaned_Data[[#This Row],[Old Price]],
""
)</f>
        <v>0.39776951672862454</v>
      </c>
      <c r="R37" s="7" t="str">
        <f>IF( Cleaned_Data[[#This Row],[Discount]] -
 Cleaned_Data[[#This Row],[Calculated Discount]]&gt;2%,
"Check",
"OK"
)</f>
        <v>OK</v>
      </c>
      <c r="S37" t="str">
        <f>IF(OR(Cleaned_Data[[#This Row],[Rating]]&lt;0,Cleaned_Data[[#This Row],[Rating]]&gt;5),"Check rating","OK")</f>
        <v>OK</v>
      </c>
      <c r="T37" t="str">
        <f>IF(OR(Cleaned_Data[[#This Row],[Discount]]&lt;0,Cleaned_Data[[#This Row],[Discount]]&gt;1),"Check discount","OK")</f>
        <v>OK</v>
      </c>
      <c r="U37" t="str">
        <f>IF(Cleaned_Data[[#This Row],[Current Price]]&gt;Cleaned_Data[[#This Row],[Old Price]],"Check prices","OK")</f>
        <v>OK</v>
      </c>
    </row>
    <row r="38" spans="1:21">
      <c r="A38" t="s">
        <v>121</v>
      </c>
      <c r="B38" s="8">
        <v>171</v>
      </c>
      <c r="C38" s="8">
        <v>360</v>
      </c>
      <c r="D38" s="7">
        <v>0.53</v>
      </c>
      <c r="E38">
        <v>2</v>
      </c>
      <c r="F38">
        <v>5</v>
      </c>
      <c r="G38">
        <f>Cleaned_Data[[#This Row],[Old Price]]-Cleaned_Data[[#This Row],[Current Price]]</f>
        <v>189</v>
      </c>
      <c r="H38" s="15" t="str">
        <f>IF(Cleaned_Data[[#This Row],[Rating]]="","Missing",IF(Cleaned_Data[[#This Row],[Rating]]&lt;3,"Poor",IF(Cleaned_Data[[#This Row],[Rating]]&lt;=4.5,"Average","Excellent")))</f>
        <v>Excellent</v>
      </c>
      <c r="I38" s="15" t="str">
        <f>IF(
Cleaned_Data[[#This Row],[Discount]]="",
"Missing",
IF(
Cleaned_Data[[#This Row],[Discount]]&lt;20%,
"Low Discount",
IF(
Cleaned_Data[[#This Row],[Discount]]&lt;=40%,
"Medium Discount",
"High Discount"
)
)
)</f>
        <v>High Discount</v>
      </c>
      <c r="J38" s="15" t="str">
        <f>IF(
Cleaned_Data[[#This Row],[Current Price]]="",
"Missing",
IF(
Cleaned_Data[[#This Row],[Current Price]]&lt;=Analysis!$B$3,
"Low Price",
IF(
Cleaned_Data[[#This Row],[Current Price]]&lt;=Analysis!$B$4,
"Medium Price",
"High Price"
)
)
)</f>
        <v>Low Price</v>
      </c>
      <c r="K38" s="15" t="str">
        <f>IF(Cleaned_Data[[#This Row],[Review]]="","Missing",IF(Cleaned_Data[[#This Row],[Review]]&gt;=Engagement_Threshold,"Strong Engagement","Weak Engagement"))</f>
        <v>Weak Engagement</v>
      </c>
      <c r="L38" s="15" t="str">
        <f>IF(OR(Cleaned_Data[[#This Row],[Discount]]="",Cleaned_Data[[#This Row],[Rating]]=""),"Missing",IF(AND(Cleaned_Data[[#This Row],[Discount Category]]="High Discount",Cleaned_Data[[#This Row],[Rating Category]]="Poor"),"Flag","OK"))</f>
        <v>OK</v>
      </c>
      <c r="M38" s="15" t="str">
        <f>IF(OR(Cleaned_Data[[#This Row],[Discount]]="",Cleaned_Data[[#This Row],[Review]]=""),"Missing",IF(AND(Cleaned_Data[[#This Row],[Discount Category]]="High Discount",Cleaned_Data[[#This Row],[Engagement]]="Weak Engagement"),"Flag","OK"))</f>
        <v>Flag</v>
      </c>
      <c r="N38" s="15" t="str">
        <f>IF(OR(Cleaned_Data[[#This Row],[Review]]="",Cleaned_Data[[#This Row],[Rating]]=""),"Missing",IF(AND(Cleaned_Data[[#This Row],[Engagement]]="Strong Engagement",Cleaned_Data[[#This Row],[Rating Category]]="Average"),"Flag","OK"))</f>
        <v>OK</v>
      </c>
      <c r="O38" s="15" t="str">
        <f>IF(OR(Cleaned_Data[[#This Row],[Review]]="",Cleaned_Data[[#This Row],[Rating]]=""),"Missing",IF(AND(Cleaned_Data[[#This Row],[Engagement]]="Strong Engagement",Cleaned_Data[[#This Row],[Rating Category]]="Excellent"),"Flag","OK"))</f>
        <v>OK</v>
      </c>
      <c r="P38" s="15" t="str">
        <f>IF(Cleaned_Data[[#This Row],[Rating]]="","Missing Rating","Has Rating")</f>
        <v>Has Rating</v>
      </c>
      <c r="Q38" s="7">
        <f>IFERROR(
(Cleaned_Data[[#This Row],[Old Price]]-Cleaned_Data[[#This Row],[Current Price]])/Cleaned_Data[[#This Row],[Old Price]],
""
)</f>
        <v>0.52500000000000002</v>
      </c>
      <c r="R38" s="7" t="str">
        <f>IF( Cleaned_Data[[#This Row],[Discount]] -
 Cleaned_Data[[#This Row],[Calculated Discount]]&gt;2%,
"Check",
"OK"
)</f>
        <v>OK</v>
      </c>
      <c r="S38" t="str">
        <f>IF(OR(Cleaned_Data[[#This Row],[Rating]]&lt;0,Cleaned_Data[[#This Row],[Rating]]&gt;5),"Check rating","OK")</f>
        <v>OK</v>
      </c>
      <c r="T38" t="str">
        <f>IF(OR(Cleaned_Data[[#This Row],[Discount]]&lt;0,Cleaned_Data[[#This Row],[Discount]]&gt;1),"Check discount","OK")</f>
        <v>OK</v>
      </c>
      <c r="U38" t="str">
        <f>IF(Cleaned_Data[[#This Row],[Current Price]]&gt;Cleaned_Data[[#This Row],[Old Price]],"Check prices","OK")</f>
        <v>OK</v>
      </c>
    </row>
    <row r="39" spans="1:21">
      <c r="A39" t="s">
        <v>123</v>
      </c>
      <c r="B39" s="8">
        <v>389</v>
      </c>
      <c r="C39" s="8">
        <v>656</v>
      </c>
      <c r="D39" s="7">
        <v>0.41</v>
      </c>
      <c r="E39">
        <v>36</v>
      </c>
      <c r="F39">
        <v>4.3</v>
      </c>
      <c r="G39">
        <f>Cleaned_Data[[#This Row],[Old Price]]-Cleaned_Data[[#This Row],[Current Price]]</f>
        <v>267</v>
      </c>
      <c r="H39" s="15" t="str">
        <f>IF(Cleaned_Data[[#This Row],[Rating]]="","Missing",IF(Cleaned_Data[[#This Row],[Rating]]&lt;3,"Poor",IF(Cleaned_Data[[#This Row],[Rating]]&lt;=4.5,"Average","Excellent")))</f>
        <v>Average</v>
      </c>
      <c r="I39" s="15" t="str">
        <f>IF(
Cleaned_Data[[#This Row],[Discount]]="",
"Missing",
IF(
Cleaned_Data[[#This Row],[Discount]]&lt;20%,
"Low Discount",
IF(
Cleaned_Data[[#This Row],[Discount]]&lt;=40%,
"Medium Discount",
"High Discount"
)
)
)</f>
        <v>High Discount</v>
      </c>
      <c r="J39" s="15" t="str">
        <f>IF(
Cleaned_Data[[#This Row],[Current Price]]="",
"Missing",
IF(
Cleaned_Data[[#This Row],[Current Price]]&lt;=Analysis!$B$3,
"Low Price",
IF(
Cleaned_Data[[#This Row],[Current Price]]&lt;=Analysis!$B$4,
"Medium Price",
"High Price"
)
)
)</f>
        <v>Low Price</v>
      </c>
      <c r="K39" s="15" t="str">
        <f>IF(Cleaned_Data[[#This Row],[Review]]="","Missing",IF(Cleaned_Data[[#This Row],[Review]]&gt;=Engagement_Threshold,"Strong Engagement","Weak Engagement"))</f>
        <v>Strong Engagement</v>
      </c>
      <c r="L39" s="15" t="str">
        <f>IF(OR(Cleaned_Data[[#This Row],[Discount]]="",Cleaned_Data[[#This Row],[Rating]]=""),"Missing",IF(AND(Cleaned_Data[[#This Row],[Discount Category]]="High Discount",Cleaned_Data[[#This Row],[Rating Category]]="Poor"),"Flag","OK"))</f>
        <v>OK</v>
      </c>
      <c r="M39" s="15" t="str">
        <f>IF(OR(Cleaned_Data[[#This Row],[Discount]]="",Cleaned_Data[[#This Row],[Review]]=""),"Missing",IF(AND(Cleaned_Data[[#This Row],[Discount Category]]="High Discount",Cleaned_Data[[#This Row],[Engagement]]="Weak Engagement"),"Flag","OK"))</f>
        <v>OK</v>
      </c>
      <c r="N39" s="15" t="str">
        <f>IF(OR(Cleaned_Data[[#This Row],[Review]]="",Cleaned_Data[[#This Row],[Rating]]=""),"Missing",IF(AND(Cleaned_Data[[#This Row],[Engagement]]="Strong Engagement",Cleaned_Data[[#This Row],[Rating Category]]="Average"),"Flag","OK"))</f>
        <v>Flag</v>
      </c>
      <c r="O39" s="15" t="str">
        <f>IF(OR(Cleaned_Data[[#This Row],[Review]]="",Cleaned_Data[[#This Row],[Rating]]=""),"Missing",IF(AND(Cleaned_Data[[#This Row],[Engagement]]="Strong Engagement",Cleaned_Data[[#This Row],[Rating Category]]="Excellent"),"Flag","OK"))</f>
        <v>OK</v>
      </c>
      <c r="P39" s="15" t="str">
        <f>IF(Cleaned_Data[[#This Row],[Rating]]="","Missing Rating","Has Rating")</f>
        <v>Has Rating</v>
      </c>
      <c r="Q39" s="7">
        <f>IFERROR(
(Cleaned_Data[[#This Row],[Old Price]]-Cleaned_Data[[#This Row],[Current Price]])/Cleaned_Data[[#This Row],[Old Price]],
""
)</f>
        <v>0.40701219512195119</v>
      </c>
      <c r="R39" s="7" t="str">
        <f>IF( Cleaned_Data[[#This Row],[Discount]] -
 Cleaned_Data[[#This Row],[Calculated Discount]]&gt;2%,
"Check",
"OK"
)</f>
        <v>OK</v>
      </c>
      <c r="S39" t="str">
        <f>IF(OR(Cleaned_Data[[#This Row],[Rating]]&lt;0,Cleaned_Data[[#This Row],[Rating]]&gt;5),"Check rating","OK")</f>
        <v>OK</v>
      </c>
      <c r="T39" t="str">
        <f>IF(OR(Cleaned_Data[[#This Row],[Discount]]&lt;0,Cleaned_Data[[#This Row],[Discount]]&gt;1),"Check discount","OK")</f>
        <v>OK</v>
      </c>
      <c r="U39" t="str">
        <f>IF(Cleaned_Data[[#This Row],[Current Price]]&gt;Cleaned_Data[[#This Row],[Old Price]],"Check prices","OK")</f>
        <v>OK</v>
      </c>
    </row>
    <row r="40" spans="1:21">
      <c r="A40" t="s">
        <v>126</v>
      </c>
      <c r="B40" s="8">
        <v>1800</v>
      </c>
      <c r="C40" s="8">
        <v>2700</v>
      </c>
      <c r="D40" s="7">
        <v>0.38</v>
      </c>
      <c r="E40">
        <v>2</v>
      </c>
      <c r="F40">
        <v>4.5</v>
      </c>
      <c r="G40">
        <f>Cleaned_Data[[#This Row],[Old Price]]-Cleaned_Data[[#This Row],[Current Price]]</f>
        <v>900</v>
      </c>
      <c r="H40" s="15" t="str">
        <f>IF(Cleaned_Data[[#This Row],[Rating]]="","Missing",IF(Cleaned_Data[[#This Row],[Rating]]&lt;3,"Poor",IF(Cleaned_Data[[#This Row],[Rating]]&lt;=4.5,"Average","Excellent")))</f>
        <v>Average</v>
      </c>
      <c r="I40" s="15" t="str">
        <f>IF(
Cleaned_Data[[#This Row],[Discount]]="",
"Missing",
IF(
Cleaned_Data[[#This Row],[Discount]]&lt;20%,
"Low Discount",
IF(
Cleaned_Data[[#This Row],[Discount]]&lt;=40%,
"Medium Discount",
"High Discount"
)
)
)</f>
        <v>Medium Discount</v>
      </c>
      <c r="J40" s="15" t="str">
        <f>IF(
Cleaned_Data[[#This Row],[Current Price]]="",
"Missing",
IF(
Cleaned_Data[[#This Row],[Current Price]]&lt;=Analysis!$B$3,
"Low Price",
IF(
Cleaned_Data[[#This Row],[Current Price]]&lt;=Analysis!$B$4,
"Medium Price",
"High Price"
)
)
)</f>
        <v>High Price</v>
      </c>
      <c r="K40" s="15" t="str">
        <f>IF(Cleaned_Data[[#This Row],[Review]]="","Missing",IF(Cleaned_Data[[#This Row],[Review]]&gt;=Engagement_Threshold,"Strong Engagement","Weak Engagement"))</f>
        <v>Weak Engagement</v>
      </c>
      <c r="L40" s="15" t="str">
        <f>IF(OR(Cleaned_Data[[#This Row],[Discount]]="",Cleaned_Data[[#This Row],[Rating]]=""),"Missing",IF(AND(Cleaned_Data[[#This Row],[Discount Category]]="High Discount",Cleaned_Data[[#This Row],[Rating Category]]="Poor"),"Flag","OK"))</f>
        <v>OK</v>
      </c>
      <c r="M40" s="15" t="str">
        <f>IF(OR(Cleaned_Data[[#This Row],[Discount]]="",Cleaned_Data[[#This Row],[Review]]=""),"Missing",IF(AND(Cleaned_Data[[#This Row],[Discount Category]]="High Discount",Cleaned_Data[[#This Row],[Engagement]]="Weak Engagement"),"Flag","OK"))</f>
        <v>OK</v>
      </c>
      <c r="N40" s="15" t="str">
        <f>IF(OR(Cleaned_Data[[#This Row],[Review]]="",Cleaned_Data[[#This Row],[Rating]]=""),"Missing",IF(AND(Cleaned_Data[[#This Row],[Engagement]]="Strong Engagement",Cleaned_Data[[#This Row],[Rating Category]]="Average"),"Flag","OK"))</f>
        <v>OK</v>
      </c>
      <c r="O40" s="15" t="str">
        <f>IF(OR(Cleaned_Data[[#This Row],[Review]]="",Cleaned_Data[[#This Row],[Rating]]=""),"Missing",IF(AND(Cleaned_Data[[#This Row],[Engagement]]="Strong Engagement",Cleaned_Data[[#This Row],[Rating Category]]="Excellent"),"Flag","OK"))</f>
        <v>OK</v>
      </c>
      <c r="P40" s="15" t="str">
        <f>IF(Cleaned_Data[[#This Row],[Rating]]="","Missing Rating","Has Rating")</f>
        <v>Has Rating</v>
      </c>
      <c r="Q40" s="7">
        <f>IFERROR(
(Cleaned_Data[[#This Row],[Old Price]]-Cleaned_Data[[#This Row],[Current Price]])/Cleaned_Data[[#This Row],[Old Price]],
""
)</f>
        <v>0.33333333333333331</v>
      </c>
      <c r="R40" s="9" t="str">
        <f>IF( Cleaned_Data[[#This Row],[Discount]] -
 Cleaned_Data[[#This Row],[Calculated Discount]]&gt;2%,
"Check",
"OK"
)</f>
        <v>Check</v>
      </c>
      <c r="S40" t="str">
        <f>IF(OR(Cleaned_Data[[#This Row],[Rating]]&lt;0,Cleaned_Data[[#This Row],[Rating]]&gt;5),"Check rating","OK")</f>
        <v>OK</v>
      </c>
      <c r="T40" t="str">
        <f>IF(OR(Cleaned_Data[[#This Row],[Discount]]&lt;0,Cleaned_Data[[#This Row],[Discount]]&gt;1),"Check discount","OK")</f>
        <v>OK</v>
      </c>
      <c r="U40" t="str">
        <f>IF(Cleaned_Data[[#This Row],[Current Price]]&gt;Cleaned_Data[[#This Row],[Old Price]],"Check prices","OK")</f>
        <v>OK</v>
      </c>
    </row>
    <row r="41" spans="1:21">
      <c r="A41" t="s">
        <v>129</v>
      </c>
      <c r="B41" s="8">
        <v>2750</v>
      </c>
      <c r="C41" s="8">
        <v>4471</v>
      </c>
      <c r="D41" s="7">
        <v>0.38</v>
      </c>
      <c r="G41">
        <f>Cleaned_Data[[#This Row],[Old Price]]-Cleaned_Data[[#This Row],[Current Price]]</f>
        <v>1721</v>
      </c>
      <c r="H41" s="15" t="str">
        <f>IF(Cleaned_Data[[#This Row],[Rating]]="","Missing",IF(Cleaned_Data[[#This Row],[Rating]]&lt;3,"Poor",IF(Cleaned_Data[[#This Row],[Rating]]&lt;=4.5,"Average","Excellent")))</f>
        <v>Missing</v>
      </c>
      <c r="I41" s="15" t="str">
        <f>IF(
Cleaned_Data[[#This Row],[Discount]]="",
"Missing",
IF(
Cleaned_Data[[#This Row],[Discount]]&lt;20%,
"Low Discount",
IF(
Cleaned_Data[[#This Row],[Discount]]&lt;=40%,
"Medium Discount",
"High Discount"
)
)
)</f>
        <v>Medium Discount</v>
      </c>
      <c r="J41" s="15" t="str">
        <f>IF(
Cleaned_Data[[#This Row],[Current Price]]="",
"Missing",
IF(
Cleaned_Data[[#This Row],[Current Price]]&lt;=Analysis!$B$3,
"Low Price",
IF(
Cleaned_Data[[#This Row],[Current Price]]&lt;=Analysis!$B$4,
"Medium Price",
"High Price"
)
)
)</f>
        <v>High Price</v>
      </c>
      <c r="K41" s="15" t="str">
        <f>IF(Cleaned_Data[[#This Row],[Review]]="","Missing",IF(Cleaned_Data[[#This Row],[Review]]&gt;=Engagement_Threshold,"Strong Engagement","Weak Engagement"))</f>
        <v>Missing</v>
      </c>
      <c r="L41" s="15" t="str">
        <f>IF(OR(Cleaned_Data[[#This Row],[Discount]]="",Cleaned_Data[[#This Row],[Rating]]=""),"Missing",IF(AND(Cleaned_Data[[#This Row],[Discount Category]]="High Discount",Cleaned_Data[[#This Row],[Rating Category]]="Poor"),"Flag","OK"))</f>
        <v>Missing</v>
      </c>
      <c r="M41" s="15" t="str">
        <f>IF(OR(Cleaned_Data[[#This Row],[Discount]]="",Cleaned_Data[[#This Row],[Review]]=""),"Missing",IF(AND(Cleaned_Data[[#This Row],[Discount Category]]="High Discount",Cleaned_Data[[#This Row],[Engagement]]="Weak Engagement"),"Flag","OK"))</f>
        <v>Missing</v>
      </c>
      <c r="N41" s="15" t="str">
        <f>IF(OR(Cleaned_Data[[#This Row],[Review]]="",Cleaned_Data[[#This Row],[Rating]]=""),"Missing",IF(AND(Cleaned_Data[[#This Row],[Engagement]]="Strong Engagement",Cleaned_Data[[#This Row],[Rating Category]]="Average"),"Flag","OK"))</f>
        <v>Missing</v>
      </c>
      <c r="O41" s="15" t="str">
        <f>IF(OR(Cleaned_Data[[#This Row],[Review]]="",Cleaned_Data[[#This Row],[Rating]]=""),"Missing",IF(AND(Cleaned_Data[[#This Row],[Engagement]]="Strong Engagement",Cleaned_Data[[#This Row],[Rating Category]]="Excellent"),"Flag","OK"))</f>
        <v>Missing</v>
      </c>
      <c r="P41" s="15" t="str">
        <f>IF(Cleaned_Data[[#This Row],[Rating]]="","Missing Rating","Has Rating")</f>
        <v>Missing Rating</v>
      </c>
      <c r="Q41" s="7">
        <f>IFERROR(
(Cleaned_Data[[#This Row],[Old Price]]-Cleaned_Data[[#This Row],[Current Price]])/Cleaned_Data[[#This Row],[Old Price]],
""
)</f>
        <v>0.38492507269067322</v>
      </c>
      <c r="R41" s="7" t="str">
        <f>IF( Cleaned_Data[[#This Row],[Discount]] -
 Cleaned_Data[[#This Row],[Calculated Discount]]&gt;2%,
"Check",
"OK"
)</f>
        <v>OK</v>
      </c>
      <c r="S41" t="str">
        <f>IF(OR(Cleaned_Data[[#This Row],[Rating]]&lt;0,Cleaned_Data[[#This Row],[Rating]]&gt;5),"Check rating","OK")</f>
        <v>OK</v>
      </c>
      <c r="T41" t="str">
        <f>IF(OR(Cleaned_Data[[#This Row],[Discount]]&lt;0,Cleaned_Data[[#This Row],[Discount]]&gt;1),"Check discount","OK")</f>
        <v>OK</v>
      </c>
      <c r="U41" t="str">
        <f>IF(Cleaned_Data[[#This Row],[Current Price]]&gt;Cleaned_Data[[#This Row],[Old Price]],"Check prices","OK")</f>
        <v>OK</v>
      </c>
    </row>
    <row r="42" spans="1:21">
      <c r="A42" t="s">
        <v>132</v>
      </c>
      <c r="B42" s="8">
        <v>475</v>
      </c>
      <c r="C42" s="8">
        <v>931</v>
      </c>
      <c r="D42" s="7">
        <v>0.49</v>
      </c>
      <c r="G42">
        <f>Cleaned_Data[[#This Row],[Old Price]]-Cleaned_Data[[#This Row],[Current Price]]</f>
        <v>456</v>
      </c>
      <c r="H42" s="15" t="str">
        <f>IF(Cleaned_Data[[#This Row],[Rating]]="","Missing",IF(Cleaned_Data[[#This Row],[Rating]]&lt;3,"Poor",IF(Cleaned_Data[[#This Row],[Rating]]&lt;=4.5,"Average","Excellent")))</f>
        <v>Missing</v>
      </c>
      <c r="I42" s="15" t="str">
        <f>IF(
Cleaned_Data[[#This Row],[Discount]]="",
"Missing",
IF(
Cleaned_Data[[#This Row],[Discount]]&lt;20%,
"Low Discount",
IF(
Cleaned_Data[[#This Row],[Discount]]&lt;=40%,
"Medium Discount",
"High Discount"
)
)
)</f>
        <v>High Discount</v>
      </c>
      <c r="J42" s="15" t="str">
        <f>IF(
Cleaned_Data[[#This Row],[Current Price]]="",
"Missing",
IF(
Cleaned_Data[[#This Row],[Current Price]]&lt;=Analysis!$B$3,
"Low Price",
IF(
Cleaned_Data[[#This Row],[Current Price]]&lt;=Analysis!$B$4,
"Medium Price",
"High Price"
)
)
)</f>
        <v>Low Price</v>
      </c>
      <c r="K42" s="15" t="str">
        <f>IF(Cleaned_Data[[#This Row],[Review]]="","Missing",IF(Cleaned_Data[[#This Row],[Review]]&gt;=Engagement_Threshold,"Strong Engagement","Weak Engagement"))</f>
        <v>Missing</v>
      </c>
      <c r="L42" s="15" t="str">
        <f>IF(OR(Cleaned_Data[[#This Row],[Discount]]="",Cleaned_Data[[#This Row],[Rating]]=""),"Missing",IF(AND(Cleaned_Data[[#This Row],[Discount Category]]="High Discount",Cleaned_Data[[#This Row],[Rating Category]]="Poor"),"Flag","OK"))</f>
        <v>Missing</v>
      </c>
      <c r="M42" s="15" t="str">
        <f>IF(OR(Cleaned_Data[[#This Row],[Discount]]="",Cleaned_Data[[#This Row],[Review]]=""),"Missing",IF(AND(Cleaned_Data[[#This Row],[Discount Category]]="High Discount",Cleaned_Data[[#This Row],[Engagement]]="Weak Engagement"),"Flag","OK"))</f>
        <v>Missing</v>
      </c>
      <c r="N42" s="15" t="str">
        <f>IF(OR(Cleaned_Data[[#This Row],[Review]]="",Cleaned_Data[[#This Row],[Rating]]=""),"Missing",IF(AND(Cleaned_Data[[#This Row],[Engagement]]="Strong Engagement",Cleaned_Data[[#This Row],[Rating Category]]="Average"),"Flag","OK"))</f>
        <v>Missing</v>
      </c>
      <c r="O42" s="15" t="str">
        <f>IF(OR(Cleaned_Data[[#This Row],[Review]]="",Cleaned_Data[[#This Row],[Rating]]=""),"Missing",IF(AND(Cleaned_Data[[#This Row],[Engagement]]="Strong Engagement",Cleaned_Data[[#This Row],[Rating Category]]="Excellent"),"Flag","OK"))</f>
        <v>Missing</v>
      </c>
      <c r="P42" s="15" t="str">
        <f>IF(Cleaned_Data[[#This Row],[Rating]]="","Missing Rating","Has Rating")</f>
        <v>Missing Rating</v>
      </c>
      <c r="Q42" s="7">
        <f>IFERROR(
(Cleaned_Data[[#This Row],[Old Price]]-Cleaned_Data[[#This Row],[Current Price]])/Cleaned_Data[[#This Row],[Old Price]],
""
)</f>
        <v>0.48979591836734693</v>
      </c>
      <c r="R42" s="7" t="str">
        <f>IF( Cleaned_Data[[#This Row],[Discount]] -
 Cleaned_Data[[#This Row],[Calculated Discount]]&gt;2%,
"Check",
"OK"
)</f>
        <v>OK</v>
      </c>
      <c r="S42" t="str">
        <f>IF(OR(Cleaned_Data[[#This Row],[Rating]]&lt;0,Cleaned_Data[[#This Row],[Rating]]&gt;5),"Check rating","OK")</f>
        <v>OK</v>
      </c>
      <c r="T42" t="str">
        <f>IF(OR(Cleaned_Data[[#This Row],[Discount]]&lt;0,Cleaned_Data[[#This Row],[Discount]]&gt;1),"Check discount","OK")</f>
        <v>OK</v>
      </c>
      <c r="U42" t="str">
        <f>IF(Cleaned_Data[[#This Row],[Current Price]]&gt;Cleaned_Data[[#This Row],[Old Price]],"Check prices","OK")</f>
        <v>OK</v>
      </c>
    </row>
    <row r="43" spans="1:21">
      <c r="A43" t="s">
        <v>135</v>
      </c>
      <c r="B43" s="8">
        <v>238</v>
      </c>
      <c r="C43" s="8">
        <v>476</v>
      </c>
      <c r="D43" s="7">
        <v>0.5</v>
      </c>
      <c r="G43">
        <f>Cleaned_Data[[#This Row],[Old Price]]-Cleaned_Data[[#This Row],[Current Price]]</f>
        <v>238</v>
      </c>
      <c r="H43" s="15" t="str">
        <f>IF(Cleaned_Data[[#This Row],[Rating]]="","Missing",IF(Cleaned_Data[[#This Row],[Rating]]&lt;3,"Poor",IF(Cleaned_Data[[#This Row],[Rating]]&lt;=4.5,"Average","Excellent")))</f>
        <v>Missing</v>
      </c>
      <c r="I43" s="15" t="str">
        <f>IF(
Cleaned_Data[[#This Row],[Discount]]="",
"Missing",
IF(
Cleaned_Data[[#This Row],[Discount]]&lt;20%,
"Low Discount",
IF(
Cleaned_Data[[#This Row],[Discount]]&lt;=40%,
"Medium Discount",
"High Discount"
)
)
)</f>
        <v>High Discount</v>
      </c>
      <c r="J43" s="15" t="str">
        <f>IF(
Cleaned_Data[[#This Row],[Current Price]]="",
"Missing",
IF(
Cleaned_Data[[#This Row],[Current Price]]&lt;=Analysis!$B$3,
"Low Price",
IF(
Cleaned_Data[[#This Row],[Current Price]]&lt;=Analysis!$B$4,
"Medium Price",
"High Price"
)
)
)</f>
        <v>Low Price</v>
      </c>
      <c r="K43" s="15" t="str">
        <f>IF(Cleaned_Data[[#This Row],[Review]]="","Missing",IF(Cleaned_Data[[#This Row],[Review]]&gt;=Engagement_Threshold,"Strong Engagement","Weak Engagement"))</f>
        <v>Missing</v>
      </c>
      <c r="L43" s="15" t="str">
        <f>IF(OR(Cleaned_Data[[#This Row],[Discount]]="",Cleaned_Data[[#This Row],[Rating]]=""),"Missing",IF(AND(Cleaned_Data[[#This Row],[Discount Category]]="High Discount",Cleaned_Data[[#This Row],[Rating Category]]="Poor"),"Flag","OK"))</f>
        <v>Missing</v>
      </c>
      <c r="M43" s="15" t="str">
        <f>IF(OR(Cleaned_Data[[#This Row],[Discount]]="",Cleaned_Data[[#This Row],[Review]]=""),"Missing",IF(AND(Cleaned_Data[[#This Row],[Discount Category]]="High Discount",Cleaned_Data[[#This Row],[Engagement]]="Weak Engagement"),"Flag","OK"))</f>
        <v>Missing</v>
      </c>
      <c r="N43" s="15" t="str">
        <f>IF(OR(Cleaned_Data[[#This Row],[Review]]="",Cleaned_Data[[#This Row],[Rating]]=""),"Missing",IF(AND(Cleaned_Data[[#This Row],[Engagement]]="Strong Engagement",Cleaned_Data[[#This Row],[Rating Category]]="Average"),"Flag","OK"))</f>
        <v>Missing</v>
      </c>
      <c r="O43" s="15" t="str">
        <f>IF(OR(Cleaned_Data[[#This Row],[Review]]="",Cleaned_Data[[#This Row],[Rating]]=""),"Missing",IF(AND(Cleaned_Data[[#This Row],[Engagement]]="Strong Engagement",Cleaned_Data[[#This Row],[Rating Category]]="Excellent"),"Flag","OK"))</f>
        <v>Missing</v>
      </c>
      <c r="P43" s="15" t="str">
        <f>IF(Cleaned_Data[[#This Row],[Rating]]="","Missing Rating","Has Rating")</f>
        <v>Missing Rating</v>
      </c>
      <c r="Q43" s="7">
        <f>IFERROR(
(Cleaned_Data[[#This Row],[Old Price]]-Cleaned_Data[[#This Row],[Current Price]])/Cleaned_Data[[#This Row],[Old Price]],
""
)</f>
        <v>0.5</v>
      </c>
      <c r="R43" s="7" t="str">
        <f>IF( Cleaned_Data[[#This Row],[Discount]] -
 Cleaned_Data[[#This Row],[Calculated Discount]]&gt;2%,
"Check",
"OK"
)</f>
        <v>OK</v>
      </c>
      <c r="S43" t="str">
        <f>IF(OR(Cleaned_Data[[#This Row],[Rating]]&lt;0,Cleaned_Data[[#This Row],[Rating]]&gt;5),"Check rating","OK")</f>
        <v>OK</v>
      </c>
      <c r="T43" t="str">
        <f>IF(OR(Cleaned_Data[[#This Row],[Discount]]&lt;0,Cleaned_Data[[#This Row],[Discount]]&gt;1),"Check discount","OK")</f>
        <v>OK</v>
      </c>
      <c r="U43" t="str">
        <f>IF(Cleaned_Data[[#This Row],[Current Price]]&gt;Cleaned_Data[[#This Row],[Old Price]],"Check prices","OK")</f>
        <v>OK</v>
      </c>
    </row>
    <row r="44" spans="1:21">
      <c r="A44" t="s">
        <v>138</v>
      </c>
      <c r="B44" s="8">
        <v>610</v>
      </c>
      <c r="C44" s="8">
        <v>1060</v>
      </c>
      <c r="D44" s="7">
        <v>0.42</v>
      </c>
      <c r="G44">
        <f>Cleaned_Data[[#This Row],[Old Price]]-Cleaned_Data[[#This Row],[Current Price]]</f>
        <v>450</v>
      </c>
      <c r="H44" s="15" t="str">
        <f>IF(Cleaned_Data[[#This Row],[Rating]]="","Missing",IF(Cleaned_Data[[#This Row],[Rating]]&lt;3,"Poor",IF(Cleaned_Data[[#This Row],[Rating]]&lt;=4.5,"Average","Excellent")))</f>
        <v>Missing</v>
      </c>
      <c r="I44" s="15" t="str">
        <f>IF(
Cleaned_Data[[#This Row],[Discount]]="",
"Missing",
IF(
Cleaned_Data[[#This Row],[Discount]]&lt;20%,
"Low Discount",
IF(
Cleaned_Data[[#This Row],[Discount]]&lt;=40%,
"Medium Discount",
"High Discount"
)
)
)</f>
        <v>High Discount</v>
      </c>
      <c r="J44" s="15" t="str">
        <f>IF(
Cleaned_Data[[#This Row],[Current Price]]="",
"Missing",
IF(
Cleaned_Data[[#This Row],[Current Price]]&lt;=Analysis!$B$3,
"Low Price",
IF(
Cleaned_Data[[#This Row],[Current Price]]&lt;=Analysis!$B$4,
"Medium Price",
"High Price"
)
)
)</f>
        <v>Medium Price</v>
      </c>
      <c r="K44" s="15" t="str">
        <f>IF(Cleaned_Data[[#This Row],[Review]]="","Missing",IF(Cleaned_Data[[#This Row],[Review]]&gt;=Engagement_Threshold,"Strong Engagement","Weak Engagement"))</f>
        <v>Missing</v>
      </c>
      <c r="L44" s="15" t="str">
        <f>IF(OR(Cleaned_Data[[#This Row],[Discount]]="",Cleaned_Data[[#This Row],[Rating]]=""),"Missing",IF(AND(Cleaned_Data[[#This Row],[Discount Category]]="High Discount",Cleaned_Data[[#This Row],[Rating Category]]="Poor"),"Flag","OK"))</f>
        <v>Missing</v>
      </c>
      <c r="M44" s="15" t="str">
        <f>IF(OR(Cleaned_Data[[#This Row],[Discount]]="",Cleaned_Data[[#This Row],[Review]]=""),"Missing",IF(AND(Cleaned_Data[[#This Row],[Discount Category]]="High Discount",Cleaned_Data[[#This Row],[Engagement]]="Weak Engagement"),"Flag","OK"))</f>
        <v>Missing</v>
      </c>
      <c r="N44" s="15" t="str">
        <f>IF(OR(Cleaned_Data[[#This Row],[Review]]="",Cleaned_Data[[#This Row],[Rating]]=""),"Missing",IF(AND(Cleaned_Data[[#This Row],[Engagement]]="Strong Engagement",Cleaned_Data[[#This Row],[Rating Category]]="Average"),"Flag","OK"))</f>
        <v>Missing</v>
      </c>
      <c r="O44" s="15" t="str">
        <f>IF(OR(Cleaned_Data[[#This Row],[Review]]="",Cleaned_Data[[#This Row],[Rating]]=""),"Missing",IF(AND(Cleaned_Data[[#This Row],[Engagement]]="Strong Engagement",Cleaned_Data[[#This Row],[Rating Category]]="Excellent"),"Flag","OK"))</f>
        <v>Missing</v>
      </c>
      <c r="P44" s="15" t="str">
        <f>IF(Cleaned_Data[[#This Row],[Rating]]="","Missing Rating","Has Rating")</f>
        <v>Missing Rating</v>
      </c>
      <c r="Q44" s="7">
        <f>IFERROR(
(Cleaned_Data[[#This Row],[Old Price]]-Cleaned_Data[[#This Row],[Current Price]])/Cleaned_Data[[#This Row],[Old Price]],
""
)</f>
        <v>0.42452830188679247</v>
      </c>
      <c r="R44" s="7" t="str">
        <f>IF( Cleaned_Data[[#This Row],[Discount]] -
 Cleaned_Data[[#This Row],[Calculated Discount]]&gt;2%,
"Check",
"OK"
)</f>
        <v>OK</v>
      </c>
      <c r="S44" t="str">
        <f>IF(OR(Cleaned_Data[[#This Row],[Rating]]&lt;0,Cleaned_Data[[#This Row],[Rating]]&gt;5),"Check rating","OK")</f>
        <v>OK</v>
      </c>
      <c r="T44" t="str">
        <f>IF(OR(Cleaned_Data[[#This Row],[Discount]]&lt;0,Cleaned_Data[[#This Row],[Discount]]&gt;1),"Check discount","OK")</f>
        <v>OK</v>
      </c>
      <c r="U44" t="str">
        <f>IF(Cleaned_Data[[#This Row],[Current Price]]&gt;Cleaned_Data[[#This Row],[Old Price]],"Check prices","OK")</f>
        <v>OK</v>
      </c>
    </row>
    <row r="45" spans="1:21">
      <c r="A45" t="s">
        <v>141</v>
      </c>
      <c r="B45" s="8">
        <v>2132</v>
      </c>
      <c r="C45" s="8">
        <v>2169</v>
      </c>
      <c r="D45" s="7">
        <v>0.02</v>
      </c>
      <c r="G45">
        <f>Cleaned_Data[[#This Row],[Old Price]]-Cleaned_Data[[#This Row],[Current Price]]</f>
        <v>37</v>
      </c>
      <c r="H45" s="15" t="str">
        <f>IF(Cleaned_Data[[#This Row],[Rating]]="","Missing",IF(Cleaned_Data[[#This Row],[Rating]]&lt;3,"Poor",IF(Cleaned_Data[[#This Row],[Rating]]&lt;=4.5,"Average","Excellent")))</f>
        <v>Missing</v>
      </c>
      <c r="I45" s="15" t="str">
        <f>IF(
Cleaned_Data[[#This Row],[Discount]]="",
"Missing",
IF(
Cleaned_Data[[#This Row],[Discount]]&lt;20%,
"Low Discount",
IF(
Cleaned_Data[[#This Row],[Discount]]&lt;=40%,
"Medium Discount",
"High Discount"
)
)
)</f>
        <v>Low Discount</v>
      </c>
      <c r="J45" s="15" t="str">
        <f>IF(
Cleaned_Data[[#This Row],[Current Price]]="",
"Missing",
IF(
Cleaned_Data[[#This Row],[Current Price]]&lt;=Analysis!$B$3,
"Low Price",
IF(
Cleaned_Data[[#This Row],[Current Price]]&lt;=Analysis!$B$4,
"Medium Price",
"High Price"
)
)
)</f>
        <v>High Price</v>
      </c>
      <c r="K45" s="15" t="str">
        <f>IF(Cleaned_Data[[#This Row],[Review]]="","Missing",IF(Cleaned_Data[[#This Row],[Review]]&gt;=Engagement_Threshold,"Strong Engagement","Weak Engagement"))</f>
        <v>Missing</v>
      </c>
      <c r="L45" s="15" t="str">
        <f>IF(OR(Cleaned_Data[[#This Row],[Discount]]="",Cleaned_Data[[#This Row],[Rating]]=""),"Missing",IF(AND(Cleaned_Data[[#This Row],[Discount Category]]="High Discount",Cleaned_Data[[#This Row],[Rating Category]]="Poor"),"Flag","OK"))</f>
        <v>Missing</v>
      </c>
      <c r="M45" s="15" t="str">
        <f>IF(OR(Cleaned_Data[[#This Row],[Discount]]="",Cleaned_Data[[#This Row],[Review]]=""),"Missing",IF(AND(Cleaned_Data[[#This Row],[Discount Category]]="High Discount",Cleaned_Data[[#This Row],[Engagement]]="Weak Engagement"),"Flag","OK"))</f>
        <v>Missing</v>
      </c>
      <c r="N45" s="15" t="str">
        <f>IF(OR(Cleaned_Data[[#This Row],[Review]]="",Cleaned_Data[[#This Row],[Rating]]=""),"Missing",IF(AND(Cleaned_Data[[#This Row],[Engagement]]="Strong Engagement",Cleaned_Data[[#This Row],[Rating Category]]="Average"),"Flag","OK"))</f>
        <v>Missing</v>
      </c>
      <c r="O45" s="15" t="str">
        <f>IF(OR(Cleaned_Data[[#This Row],[Review]]="",Cleaned_Data[[#This Row],[Rating]]=""),"Missing",IF(AND(Cleaned_Data[[#This Row],[Engagement]]="Strong Engagement",Cleaned_Data[[#This Row],[Rating Category]]="Excellent"),"Flag","OK"))</f>
        <v>Missing</v>
      </c>
      <c r="P45" s="15" t="str">
        <f>IF(Cleaned_Data[[#This Row],[Rating]]="","Missing Rating","Has Rating")</f>
        <v>Missing Rating</v>
      </c>
      <c r="Q45" s="7">
        <f>IFERROR(
(Cleaned_Data[[#This Row],[Old Price]]-Cleaned_Data[[#This Row],[Current Price]])/Cleaned_Data[[#This Row],[Old Price]],
""
)</f>
        <v>1.705855232826187E-2</v>
      </c>
      <c r="R45" s="7" t="str">
        <f>IF( Cleaned_Data[[#This Row],[Discount]] -
 Cleaned_Data[[#This Row],[Calculated Discount]]&gt;2%,
"Check",
"OK"
)</f>
        <v>OK</v>
      </c>
      <c r="S45" t="str">
        <f>IF(OR(Cleaned_Data[[#This Row],[Rating]]&lt;0,Cleaned_Data[[#This Row],[Rating]]&gt;5),"Check rating","OK")</f>
        <v>OK</v>
      </c>
      <c r="T45" t="str">
        <f>IF(OR(Cleaned_Data[[#This Row],[Discount]]&lt;0,Cleaned_Data[[#This Row],[Discount]]&gt;1),"Check discount","OK")</f>
        <v>OK</v>
      </c>
      <c r="U45" t="str">
        <f>IF(Cleaned_Data[[#This Row],[Current Price]]&gt;Cleaned_Data[[#This Row],[Old Price]],"Check prices","OK")</f>
        <v>OK</v>
      </c>
    </row>
    <row r="46" spans="1:21">
      <c r="A46" t="s">
        <v>144</v>
      </c>
      <c r="B46" s="8">
        <v>999</v>
      </c>
      <c r="C46" s="8">
        <v>2000</v>
      </c>
      <c r="D46" s="7">
        <v>0.5</v>
      </c>
      <c r="G46">
        <f>Cleaned_Data[[#This Row],[Old Price]]-Cleaned_Data[[#This Row],[Current Price]]</f>
        <v>1001</v>
      </c>
      <c r="H46" s="15" t="str">
        <f>IF(Cleaned_Data[[#This Row],[Rating]]="","Missing",IF(Cleaned_Data[[#This Row],[Rating]]&lt;3,"Poor",IF(Cleaned_Data[[#This Row],[Rating]]&lt;=4.5,"Average","Excellent")))</f>
        <v>Missing</v>
      </c>
      <c r="I46" s="15" t="str">
        <f>IF(
Cleaned_Data[[#This Row],[Discount]]="",
"Missing",
IF(
Cleaned_Data[[#This Row],[Discount]]&lt;20%,
"Low Discount",
IF(
Cleaned_Data[[#This Row],[Discount]]&lt;=40%,
"Medium Discount",
"High Discount"
)
)
)</f>
        <v>High Discount</v>
      </c>
      <c r="J46" s="15" t="str">
        <f>IF(
Cleaned_Data[[#This Row],[Current Price]]="",
"Missing",
IF(
Cleaned_Data[[#This Row],[Current Price]]&lt;=Analysis!$B$3,
"Low Price",
IF(
Cleaned_Data[[#This Row],[Current Price]]&lt;=Analysis!$B$4,
"Medium Price",
"High Price"
)
)
)</f>
        <v>Medium Price</v>
      </c>
      <c r="K46" s="15" t="str">
        <f>IF(Cleaned_Data[[#This Row],[Review]]="","Missing",IF(Cleaned_Data[[#This Row],[Review]]&gt;=Engagement_Threshold,"Strong Engagement","Weak Engagement"))</f>
        <v>Missing</v>
      </c>
      <c r="L46" s="15" t="str">
        <f>IF(OR(Cleaned_Data[[#This Row],[Discount]]="",Cleaned_Data[[#This Row],[Rating]]=""),"Missing",IF(AND(Cleaned_Data[[#This Row],[Discount Category]]="High Discount",Cleaned_Data[[#This Row],[Rating Category]]="Poor"),"Flag","OK"))</f>
        <v>Missing</v>
      </c>
      <c r="M46" s="15" t="str">
        <f>IF(OR(Cleaned_Data[[#This Row],[Discount]]="",Cleaned_Data[[#This Row],[Review]]=""),"Missing",IF(AND(Cleaned_Data[[#This Row],[Discount Category]]="High Discount",Cleaned_Data[[#This Row],[Engagement]]="Weak Engagement"),"Flag","OK"))</f>
        <v>Missing</v>
      </c>
      <c r="N46" s="15" t="str">
        <f>IF(OR(Cleaned_Data[[#This Row],[Review]]="",Cleaned_Data[[#This Row],[Rating]]=""),"Missing",IF(AND(Cleaned_Data[[#This Row],[Engagement]]="Strong Engagement",Cleaned_Data[[#This Row],[Rating Category]]="Average"),"Flag","OK"))</f>
        <v>Missing</v>
      </c>
      <c r="O46" s="15" t="str">
        <f>IF(OR(Cleaned_Data[[#This Row],[Review]]="",Cleaned_Data[[#This Row],[Rating]]=""),"Missing",IF(AND(Cleaned_Data[[#This Row],[Engagement]]="Strong Engagement",Cleaned_Data[[#This Row],[Rating Category]]="Excellent"),"Flag","OK"))</f>
        <v>Missing</v>
      </c>
      <c r="P46" s="15" t="str">
        <f>IF(Cleaned_Data[[#This Row],[Rating]]="","Missing Rating","Has Rating")</f>
        <v>Missing Rating</v>
      </c>
      <c r="Q46" s="7">
        <f>IFERROR(
(Cleaned_Data[[#This Row],[Old Price]]-Cleaned_Data[[#This Row],[Current Price]])/Cleaned_Data[[#This Row],[Old Price]],
""
)</f>
        <v>0.50049999999999994</v>
      </c>
      <c r="R46" s="7" t="str">
        <f>IF( Cleaned_Data[[#This Row],[Discount]] -
 Cleaned_Data[[#This Row],[Calculated Discount]]&gt;2%,
"Check",
"OK"
)</f>
        <v>OK</v>
      </c>
      <c r="S46" t="str">
        <f>IF(OR(Cleaned_Data[[#This Row],[Rating]]&lt;0,Cleaned_Data[[#This Row],[Rating]]&gt;5),"Check rating","OK")</f>
        <v>OK</v>
      </c>
      <c r="T46" t="str">
        <f>IF(OR(Cleaned_Data[[#This Row],[Discount]]&lt;0,Cleaned_Data[[#This Row],[Discount]]&gt;1),"Check discount","OK")</f>
        <v>OK</v>
      </c>
      <c r="U46" t="str">
        <f>IF(Cleaned_Data[[#This Row],[Current Price]]&gt;Cleaned_Data[[#This Row],[Old Price]],"Check prices","OK")</f>
        <v>OK</v>
      </c>
    </row>
    <row r="47" spans="1:21">
      <c r="A47" t="s">
        <v>146</v>
      </c>
      <c r="B47" s="8">
        <v>1190</v>
      </c>
      <c r="C47" s="8">
        <v>1785</v>
      </c>
      <c r="D47" s="7">
        <v>0.33</v>
      </c>
      <c r="G47">
        <f>Cleaned_Data[[#This Row],[Old Price]]-Cleaned_Data[[#This Row],[Current Price]]</f>
        <v>595</v>
      </c>
      <c r="H47" s="15" t="str">
        <f>IF(Cleaned_Data[[#This Row],[Rating]]="","Missing",IF(Cleaned_Data[[#This Row],[Rating]]&lt;3,"Poor",IF(Cleaned_Data[[#This Row],[Rating]]&lt;=4.5,"Average","Excellent")))</f>
        <v>Missing</v>
      </c>
      <c r="I47" s="15" t="str">
        <f>IF(
Cleaned_Data[[#This Row],[Discount]]="",
"Missing",
IF(
Cleaned_Data[[#This Row],[Discount]]&lt;20%,
"Low Discount",
IF(
Cleaned_Data[[#This Row],[Discount]]&lt;=40%,
"Medium Discount",
"High Discount"
)
)
)</f>
        <v>Medium Discount</v>
      </c>
      <c r="J47" s="15" t="str">
        <f>IF(
Cleaned_Data[[#This Row],[Current Price]]="",
"Missing",
IF(
Cleaned_Data[[#This Row],[Current Price]]&lt;=Analysis!$B$3,
"Low Price",
IF(
Cleaned_Data[[#This Row],[Current Price]]&lt;=Analysis!$B$4,
"Medium Price",
"High Price"
)
)
)</f>
        <v>Medium Price</v>
      </c>
      <c r="K47" s="15" t="str">
        <f>IF(Cleaned_Data[[#This Row],[Review]]="","Missing",IF(Cleaned_Data[[#This Row],[Review]]&gt;=Engagement_Threshold,"Strong Engagement","Weak Engagement"))</f>
        <v>Missing</v>
      </c>
      <c r="L47" s="15" t="str">
        <f>IF(OR(Cleaned_Data[[#This Row],[Discount]]="",Cleaned_Data[[#This Row],[Rating]]=""),"Missing",IF(AND(Cleaned_Data[[#This Row],[Discount Category]]="High Discount",Cleaned_Data[[#This Row],[Rating Category]]="Poor"),"Flag","OK"))</f>
        <v>Missing</v>
      </c>
      <c r="M47" s="15" t="str">
        <f>IF(OR(Cleaned_Data[[#This Row],[Discount]]="",Cleaned_Data[[#This Row],[Review]]=""),"Missing",IF(AND(Cleaned_Data[[#This Row],[Discount Category]]="High Discount",Cleaned_Data[[#This Row],[Engagement]]="Weak Engagement"),"Flag","OK"))</f>
        <v>Missing</v>
      </c>
      <c r="N47" s="15" t="str">
        <f>IF(OR(Cleaned_Data[[#This Row],[Review]]="",Cleaned_Data[[#This Row],[Rating]]=""),"Missing",IF(AND(Cleaned_Data[[#This Row],[Engagement]]="Strong Engagement",Cleaned_Data[[#This Row],[Rating Category]]="Average"),"Flag","OK"))</f>
        <v>Missing</v>
      </c>
      <c r="O47" s="15" t="str">
        <f>IF(OR(Cleaned_Data[[#This Row],[Review]]="",Cleaned_Data[[#This Row],[Rating]]=""),"Missing",IF(AND(Cleaned_Data[[#This Row],[Engagement]]="Strong Engagement",Cleaned_Data[[#This Row],[Rating Category]]="Excellent"),"Flag","OK"))</f>
        <v>Missing</v>
      </c>
      <c r="P47" s="15" t="str">
        <f>IF(Cleaned_Data[[#This Row],[Rating]]="","Missing Rating","Has Rating")</f>
        <v>Missing Rating</v>
      </c>
      <c r="Q47" s="7">
        <f>IFERROR(
(Cleaned_Data[[#This Row],[Old Price]]-Cleaned_Data[[#This Row],[Current Price]])/Cleaned_Data[[#This Row],[Old Price]],
""
)</f>
        <v>0.33333333333333331</v>
      </c>
      <c r="R47" s="7" t="str">
        <f>IF( Cleaned_Data[[#This Row],[Discount]] -
 Cleaned_Data[[#This Row],[Calculated Discount]]&gt;2%,
"Check",
"OK"
)</f>
        <v>OK</v>
      </c>
      <c r="S47" t="str">
        <f>IF(OR(Cleaned_Data[[#This Row],[Rating]]&lt;0,Cleaned_Data[[#This Row],[Rating]]&gt;5),"Check rating","OK")</f>
        <v>OK</v>
      </c>
      <c r="T47" t="str">
        <f>IF(OR(Cleaned_Data[[#This Row],[Discount]]&lt;0,Cleaned_Data[[#This Row],[Discount]]&gt;1),"Check discount","OK")</f>
        <v>OK</v>
      </c>
      <c r="U47" t="str">
        <f>IF(Cleaned_Data[[#This Row],[Current Price]]&gt;Cleaned_Data[[#This Row],[Old Price]],"Check prices","OK")</f>
        <v>OK</v>
      </c>
    </row>
    <row r="48" spans="1:21">
      <c r="A48" t="s">
        <v>149</v>
      </c>
      <c r="B48" s="8">
        <v>671</v>
      </c>
      <c r="C48" s="8">
        <v>1316</v>
      </c>
      <c r="D48" s="7">
        <v>0.49</v>
      </c>
      <c r="G48">
        <f>Cleaned_Data[[#This Row],[Old Price]]-Cleaned_Data[[#This Row],[Current Price]]</f>
        <v>645</v>
      </c>
      <c r="H48" s="15" t="str">
        <f>IF(Cleaned_Data[[#This Row],[Rating]]="","Missing",IF(Cleaned_Data[[#This Row],[Rating]]&lt;3,"Poor",IF(Cleaned_Data[[#This Row],[Rating]]&lt;=4.5,"Average","Excellent")))</f>
        <v>Missing</v>
      </c>
      <c r="I48" s="15" t="str">
        <f>IF(
Cleaned_Data[[#This Row],[Discount]]="",
"Missing",
IF(
Cleaned_Data[[#This Row],[Discount]]&lt;20%,
"Low Discount",
IF(
Cleaned_Data[[#This Row],[Discount]]&lt;=40%,
"Medium Discount",
"High Discount"
)
)
)</f>
        <v>High Discount</v>
      </c>
      <c r="J48" s="15" t="str">
        <f>IF(
Cleaned_Data[[#This Row],[Current Price]]="",
"Missing",
IF(
Cleaned_Data[[#This Row],[Current Price]]&lt;=Analysis!$B$3,
"Low Price",
IF(
Cleaned_Data[[#This Row],[Current Price]]&lt;=Analysis!$B$4,
"Medium Price",
"High Price"
)
)
)</f>
        <v>Medium Price</v>
      </c>
      <c r="K48" s="15" t="str">
        <f>IF(Cleaned_Data[[#This Row],[Review]]="","Missing",IF(Cleaned_Data[[#This Row],[Review]]&gt;=Engagement_Threshold,"Strong Engagement","Weak Engagement"))</f>
        <v>Missing</v>
      </c>
      <c r="L48" s="15" t="str">
        <f>IF(OR(Cleaned_Data[[#This Row],[Discount]]="",Cleaned_Data[[#This Row],[Rating]]=""),"Missing",IF(AND(Cleaned_Data[[#This Row],[Discount Category]]="High Discount",Cleaned_Data[[#This Row],[Rating Category]]="Poor"),"Flag","OK"))</f>
        <v>Missing</v>
      </c>
      <c r="M48" s="15" t="str">
        <f>IF(OR(Cleaned_Data[[#This Row],[Discount]]="",Cleaned_Data[[#This Row],[Review]]=""),"Missing",IF(AND(Cleaned_Data[[#This Row],[Discount Category]]="High Discount",Cleaned_Data[[#This Row],[Engagement]]="Weak Engagement"),"Flag","OK"))</f>
        <v>Missing</v>
      </c>
      <c r="N48" s="15" t="str">
        <f>IF(OR(Cleaned_Data[[#This Row],[Review]]="",Cleaned_Data[[#This Row],[Rating]]=""),"Missing",IF(AND(Cleaned_Data[[#This Row],[Engagement]]="Strong Engagement",Cleaned_Data[[#This Row],[Rating Category]]="Average"),"Flag","OK"))</f>
        <v>Missing</v>
      </c>
      <c r="O48" s="15" t="str">
        <f>IF(OR(Cleaned_Data[[#This Row],[Review]]="",Cleaned_Data[[#This Row],[Rating]]=""),"Missing",IF(AND(Cleaned_Data[[#This Row],[Engagement]]="Strong Engagement",Cleaned_Data[[#This Row],[Rating Category]]="Excellent"),"Flag","OK"))</f>
        <v>Missing</v>
      </c>
      <c r="P48" s="15" t="str">
        <f>IF(Cleaned_Data[[#This Row],[Rating]]="","Missing Rating","Has Rating")</f>
        <v>Missing Rating</v>
      </c>
      <c r="Q48" s="7">
        <f>IFERROR(
(Cleaned_Data[[#This Row],[Old Price]]-Cleaned_Data[[#This Row],[Current Price]])/Cleaned_Data[[#This Row],[Old Price]],
""
)</f>
        <v>0.49012158054711247</v>
      </c>
      <c r="R48" s="7" t="str">
        <f>IF( Cleaned_Data[[#This Row],[Discount]] -
 Cleaned_Data[[#This Row],[Calculated Discount]]&gt;2%,
"Check",
"OK"
)</f>
        <v>OK</v>
      </c>
      <c r="S48" t="str">
        <f>IF(OR(Cleaned_Data[[#This Row],[Rating]]&lt;0,Cleaned_Data[[#This Row],[Rating]]&gt;5),"Check rating","OK")</f>
        <v>OK</v>
      </c>
      <c r="T48" t="str">
        <f>IF(OR(Cleaned_Data[[#This Row],[Discount]]&lt;0,Cleaned_Data[[#This Row],[Discount]]&gt;1),"Check discount","OK")</f>
        <v>OK</v>
      </c>
      <c r="U48" t="str">
        <f>IF(Cleaned_Data[[#This Row],[Current Price]]&gt;Cleaned_Data[[#This Row],[Old Price]],"Check prices","OK")</f>
        <v>OK</v>
      </c>
    </row>
    <row r="49" spans="1:21">
      <c r="A49" t="s">
        <v>152</v>
      </c>
      <c r="B49" s="8">
        <v>1200</v>
      </c>
      <c r="C49" s="8">
        <v>1950</v>
      </c>
      <c r="D49" s="7">
        <v>0.38</v>
      </c>
      <c r="G49">
        <f>Cleaned_Data[[#This Row],[Old Price]]-Cleaned_Data[[#This Row],[Current Price]]</f>
        <v>750</v>
      </c>
      <c r="H49" s="15" t="str">
        <f>IF(Cleaned_Data[[#This Row],[Rating]]="","Missing",IF(Cleaned_Data[[#This Row],[Rating]]&lt;3,"Poor",IF(Cleaned_Data[[#This Row],[Rating]]&lt;=4.5,"Average","Excellent")))</f>
        <v>Missing</v>
      </c>
      <c r="I49" s="15" t="str">
        <f>IF(
Cleaned_Data[[#This Row],[Discount]]="",
"Missing",
IF(
Cleaned_Data[[#This Row],[Discount]]&lt;20%,
"Low Discount",
IF(
Cleaned_Data[[#This Row],[Discount]]&lt;=40%,
"Medium Discount",
"High Discount"
)
)
)</f>
        <v>Medium Discount</v>
      </c>
      <c r="J49" s="15" t="str">
        <f>IF(
Cleaned_Data[[#This Row],[Current Price]]="",
"Missing",
IF(
Cleaned_Data[[#This Row],[Current Price]]&lt;=Analysis!$B$3,
"Low Price",
IF(
Cleaned_Data[[#This Row],[Current Price]]&lt;=Analysis!$B$4,
"Medium Price",
"High Price"
)
)
)</f>
        <v>Medium Price</v>
      </c>
      <c r="K49" s="15" t="str">
        <f>IF(Cleaned_Data[[#This Row],[Review]]="","Missing",IF(Cleaned_Data[[#This Row],[Review]]&gt;=Engagement_Threshold,"Strong Engagement","Weak Engagement"))</f>
        <v>Missing</v>
      </c>
      <c r="L49" s="15" t="str">
        <f>IF(OR(Cleaned_Data[[#This Row],[Discount]]="",Cleaned_Data[[#This Row],[Rating]]=""),"Missing",IF(AND(Cleaned_Data[[#This Row],[Discount Category]]="High Discount",Cleaned_Data[[#This Row],[Rating Category]]="Poor"),"Flag","OK"))</f>
        <v>Missing</v>
      </c>
      <c r="M49" s="15" t="str">
        <f>IF(OR(Cleaned_Data[[#This Row],[Discount]]="",Cleaned_Data[[#This Row],[Review]]=""),"Missing",IF(AND(Cleaned_Data[[#This Row],[Discount Category]]="High Discount",Cleaned_Data[[#This Row],[Engagement]]="Weak Engagement"),"Flag","OK"))</f>
        <v>Missing</v>
      </c>
      <c r="N49" s="15" t="str">
        <f>IF(OR(Cleaned_Data[[#This Row],[Review]]="",Cleaned_Data[[#This Row],[Rating]]=""),"Missing",IF(AND(Cleaned_Data[[#This Row],[Engagement]]="Strong Engagement",Cleaned_Data[[#This Row],[Rating Category]]="Average"),"Flag","OK"))</f>
        <v>Missing</v>
      </c>
      <c r="O49" s="15" t="str">
        <f>IF(OR(Cleaned_Data[[#This Row],[Review]]="",Cleaned_Data[[#This Row],[Rating]]=""),"Missing",IF(AND(Cleaned_Data[[#This Row],[Engagement]]="Strong Engagement",Cleaned_Data[[#This Row],[Rating Category]]="Excellent"),"Flag","OK"))</f>
        <v>Missing</v>
      </c>
      <c r="P49" s="15" t="str">
        <f>IF(Cleaned_Data[[#This Row],[Rating]]="","Missing Rating","Has Rating")</f>
        <v>Missing Rating</v>
      </c>
      <c r="Q49" s="7">
        <f>IFERROR(
(Cleaned_Data[[#This Row],[Old Price]]-Cleaned_Data[[#This Row],[Current Price]])/Cleaned_Data[[#This Row],[Old Price]],
""
)</f>
        <v>0.38461538461538464</v>
      </c>
      <c r="R49" s="7" t="str">
        <f>IF( Cleaned_Data[[#This Row],[Discount]] -
 Cleaned_Data[[#This Row],[Calculated Discount]]&gt;2%,
"Check",
"OK"
)</f>
        <v>OK</v>
      </c>
      <c r="S49" t="str">
        <f>IF(OR(Cleaned_Data[[#This Row],[Rating]]&lt;0,Cleaned_Data[[#This Row],[Rating]]&gt;5),"Check rating","OK")</f>
        <v>OK</v>
      </c>
      <c r="T49" t="str">
        <f>IF(OR(Cleaned_Data[[#This Row],[Discount]]&lt;0,Cleaned_Data[[#This Row],[Discount]]&gt;1),"Check discount","OK")</f>
        <v>OK</v>
      </c>
      <c r="U49" t="str">
        <f>IF(Cleaned_Data[[#This Row],[Current Price]]&gt;Cleaned_Data[[#This Row],[Old Price]],"Check prices","OK")</f>
        <v>OK</v>
      </c>
    </row>
    <row r="50" spans="1:21">
      <c r="A50" t="s">
        <v>155</v>
      </c>
      <c r="B50" s="8">
        <v>199</v>
      </c>
      <c r="C50" s="8">
        <v>504</v>
      </c>
      <c r="D50" s="7">
        <v>0.61</v>
      </c>
      <c r="G50">
        <f>Cleaned_Data[[#This Row],[Old Price]]-Cleaned_Data[[#This Row],[Current Price]]</f>
        <v>305</v>
      </c>
      <c r="H50" s="15" t="str">
        <f>IF(Cleaned_Data[[#This Row],[Rating]]="","Missing",IF(Cleaned_Data[[#This Row],[Rating]]&lt;3,"Poor",IF(Cleaned_Data[[#This Row],[Rating]]&lt;=4.5,"Average","Excellent")))</f>
        <v>Missing</v>
      </c>
      <c r="I50" s="15" t="str">
        <f>IF(
Cleaned_Data[[#This Row],[Discount]]="",
"Missing",
IF(
Cleaned_Data[[#This Row],[Discount]]&lt;20%,
"Low Discount",
IF(
Cleaned_Data[[#This Row],[Discount]]&lt;=40%,
"Medium Discount",
"High Discount"
)
)
)</f>
        <v>High Discount</v>
      </c>
      <c r="J50" s="15" t="str">
        <f>IF(
Cleaned_Data[[#This Row],[Current Price]]="",
"Missing",
IF(
Cleaned_Data[[#This Row],[Current Price]]&lt;=Analysis!$B$3,
"Low Price",
IF(
Cleaned_Data[[#This Row],[Current Price]]&lt;=Analysis!$B$4,
"Medium Price",
"High Price"
)
)
)</f>
        <v>Low Price</v>
      </c>
      <c r="K50" s="15" t="str">
        <f>IF(Cleaned_Data[[#This Row],[Review]]="","Missing",IF(Cleaned_Data[[#This Row],[Review]]&gt;=Engagement_Threshold,"Strong Engagement","Weak Engagement"))</f>
        <v>Missing</v>
      </c>
      <c r="L50" s="15" t="str">
        <f>IF(OR(Cleaned_Data[[#This Row],[Discount]]="",Cleaned_Data[[#This Row],[Rating]]=""),"Missing",IF(AND(Cleaned_Data[[#This Row],[Discount Category]]="High Discount",Cleaned_Data[[#This Row],[Rating Category]]="Poor"),"Flag","OK"))</f>
        <v>Missing</v>
      </c>
      <c r="M50" s="15" t="str">
        <f>IF(OR(Cleaned_Data[[#This Row],[Discount]]="",Cleaned_Data[[#This Row],[Review]]=""),"Missing",IF(AND(Cleaned_Data[[#This Row],[Discount Category]]="High Discount",Cleaned_Data[[#This Row],[Engagement]]="Weak Engagement"),"Flag","OK"))</f>
        <v>Missing</v>
      </c>
      <c r="N50" s="15" t="str">
        <f>IF(OR(Cleaned_Data[[#This Row],[Review]]="",Cleaned_Data[[#This Row],[Rating]]=""),"Missing",IF(AND(Cleaned_Data[[#This Row],[Engagement]]="Strong Engagement",Cleaned_Data[[#This Row],[Rating Category]]="Average"),"Flag","OK"))</f>
        <v>Missing</v>
      </c>
      <c r="O50" s="15" t="str">
        <f>IF(OR(Cleaned_Data[[#This Row],[Review]]="",Cleaned_Data[[#This Row],[Rating]]=""),"Missing",IF(AND(Cleaned_Data[[#This Row],[Engagement]]="Strong Engagement",Cleaned_Data[[#This Row],[Rating Category]]="Excellent"),"Flag","OK"))</f>
        <v>Missing</v>
      </c>
      <c r="P50" s="15" t="str">
        <f>IF(Cleaned_Data[[#This Row],[Rating]]="","Missing Rating","Has Rating")</f>
        <v>Missing Rating</v>
      </c>
      <c r="Q50" s="7">
        <f>IFERROR(
(Cleaned_Data[[#This Row],[Old Price]]-Cleaned_Data[[#This Row],[Current Price]])/Cleaned_Data[[#This Row],[Old Price]],
""
)</f>
        <v>0.60515873015873012</v>
      </c>
      <c r="R50" s="7" t="str">
        <f>IF( Cleaned_Data[[#This Row],[Discount]] -
 Cleaned_Data[[#This Row],[Calculated Discount]]&gt;2%,
"Check",
"OK"
)</f>
        <v>OK</v>
      </c>
      <c r="S50" t="str">
        <f>IF(OR(Cleaned_Data[[#This Row],[Rating]]&lt;0,Cleaned_Data[[#This Row],[Rating]]&gt;5),"Check rating","OK")</f>
        <v>OK</v>
      </c>
      <c r="T50" t="str">
        <f>IF(OR(Cleaned_Data[[#This Row],[Discount]]&lt;0,Cleaned_Data[[#This Row],[Discount]]&gt;1),"Check discount","OK")</f>
        <v>OK</v>
      </c>
      <c r="U50" t="str">
        <f>IF(Cleaned_Data[[#This Row],[Current Price]]&gt;Cleaned_Data[[#This Row],[Old Price]],"Check prices","OK")</f>
        <v>OK</v>
      </c>
    </row>
    <row r="51" spans="1:21">
      <c r="A51" t="s">
        <v>158</v>
      </c>
      <c r="B51" s="8">
        <v>299</v>
      </c>
      <c r="C51" s="8">
        <v>600</v>
      </c>
      <c r="D51" s="7">
        <v>0.5</v>
      </c>
      <c r="G51">
        <f>Cleaned_Data[[#This Row],[Old Price]]-Cleaned_Data[[#This Row],[Current Price]]</f>
        <v>301</v>
      </c>
      <c r="H51" s="15" t="str">
        <f>IF(Cleaned_Data[[#This Row],[Rating]]="","Missing",IF(Cleaned_Data[[#This Row],[Rating]]&lt;3,"Poor",IF(Cleaned_Data[[#This Row],[Rating]]&lt;=4.5,"Average","Excellent")))</f>
        <v>Missing</v>
      </c>
      <c r="I51" s="15" t="str">
        <f>IF(
Cleaned_Data[[#This Row],[Discount]]="",
"Missing",
IF(
Cleaned_Data[[#This Row],[Discount]]&lt;20%,
"Low Discount",
IF(
Cleaned_Data[[#This Row],[Discount]]&lt;=40%,
"Medium Discount",
"High Discount"
)
)
)</f>
        <v>High Discount</v>
      </c>
      <c r="J51" s="15" t="str">
        <f>IF(
Cleaned_Data[[#This Row],[Current Price]]="",
"Missing",
IF(
Cleaned_Data[[#This Row],[Current Price]]&lt;=Analysis!$B$3,
"Low Price",
IF(
Cleaned_Data[[#This Row],[Current Price]]&lt;=Analysis!$B$4,
"Medium Price",
"High Price"
)
)
)</f>
        <v>Low Price</v>
      </c>
      <c r="K51" s="15" t="str">
        <f>IF(Cleaned_Data[[#This Row],[Review]]="","Missing",IF(Cleaned_Data[[#This Row],[Review]]&gt;=Engagement_Threshold,"Strong Engagement","Weak Engagement"))</f>
        <v>Missing</v>
      </c>
      <c r="L51" s="15" t="str">
        <f>IF(OR(Cleaned_Data[[#This Row],[Discount]]="",Cleaned_Data[[#This Row],[Rating]]=""),"Missing",IF(AND(Cleaned_Data[[#This Row],[Discount Category]]="High Discount",Cleaned_Data[[#This Row],[Rating Category]]="Poor"),"Flag","OK"))</f>
        <v>Missing</v>
      </c>
      <c r="M51" s="15" t="str">
        <f>IF(OR(Cleaned_Data[[#This Row],[Discount]]="",Cleaned_Data[[#This Row],[Review]]=""),"Missing",IF(AND(Cleaned_Data[[#This Row],[Discount Category]]="High Discount",Cleaned_Data[[#This Row],[Engagement]]="Weak Engagement"),"Flag","OK"))</f>
        <v>Missing</v>
      </c>
      <c r="N51" s="15" t="str">
        <f>IF(OR(Cleaned_Data[[#This Row],[Review]]="",Cleaned_Data[[#This Row],[Rating]]=""),"Missing",IF(AND(Cleaned_Data[[#This Row],[Engagement]]="Strong Engagement",Cleaned_Data[[#This Row],[Rating Category]]="Average"),"Flag","OK"))</f>
        <v>Missing</v>
      </c>
      <c r="O51" s="15" t="str">
        <f>IF(OR(Cleaned_Data[[#This Row],[Review]]="",Cleaned_Data[[#This Row],[Rating]]=""),"Missing",IF(AND(Cleaned_Data[[#This Row],[Engagement]]="Strong Engagement",Cleaned_Data[[#This Row],[Rating Category]]="Excellent"),"Flag","OK"))</f>
        <v>Missing</v>
      </c>
      <c r="P51" s="15" t="str">
        <f>IF(Cleaned_Data[[#This Row],[Rating]]="","Missing Rating","Has Rating")</f>
        <v>Missing Rating</v>
      </c>
      <c r="Q51" s="7">
        <f>IFERROR(
(Cleaned_Data[[#This Row],[Old Price]]-Cleaned_Data[[#This Row],[Current Price]])/Cleaned_Data[[#This Row],[Old Price]],
""
)</f>
        <v>0.50166666666666671</v>
      </c>
      <c r="R51" s="7" t="str">
        <f>IF( Cleaned_Data[[#This Row],[Discount]] -
 Cleaned_Data[[#This Row],[Calculated Discount]]&gt;2%,
"Check",
"OK"
)</f>
        <v>OK</v>
      </c>
      <c r="S51" t="str">
        <f>IF(OR(Cleaned_Data[[#This Row],[Rating]]&lt;0,Cleaned_Data[[#This Row],[Rating]]&gt;5),"Check rating","OK")</f>
        <v>OK</v>
      </c>
      <c r="T51" t="str">
        <f>IF(OR(Cleaned_Data[[#This Row],[Discount]]&lt;0,Cleaned_Data[[#This Row],[Discount]]&gt;1),"Check discount","OK")</f>
        <v>OK</v>
      </c>
      <c r="U51" t="str">
        <f>IF(Cleaned_Data[[#This Row],[Current Price]]&gt;Cleaned_Data[[#This Row],[Old Price]],"Check prices","OK")</f>
        <v>OK</v>
      </c>
    </row>
    <row r="52" spans="1:21">
      <c r="A52" t="s">
        <v>161</v>
      </c>
      <c r="B52" s="8">
        <v>1660</v>
      </c>
      <c r="C52" s="8">
        <v>1699</v>
      </c>
      <c r="D52" s="7">
        <v>0.02</v>
      </c>
      <c r="G52">
        <f>Cleaned_Data[[#This Row],[Old Price]]-Cleaned_Data[[#This Row],[Current Price]]</f>
        <v>39</v>
      </c>
      <c r="H52" s="15" t="str">
        <f>IF(Cleaned_Data[[#This Row],[Rating]]="","Missing",IF(Cleaned_Data[[#This Row],[Rating]]&lt;3,"Poor",IF(Cleaned_Data[[#This Row],[Rating]]&lt;=4.5,"Average","Excellent")))</f>
        <v>Missing</v>
      </c>
      <c r="I52" s="15" t="str">
        <f>IF(
Cleaned_Data[[#This Row],[Discount]]="",
"Missing",
IF(
Cleaned_Data[[#This Row],[Discount]]&lt;20%,
"Low Discount",
IF(
Cleaned_Data[[#This Row],[Discount]]&lt;=40%,
"Medium Discount",
"High Discount"
)
)
)</f>
        <v>Low Discount</v>
      </c>
      <c r="J52" s="15" t="str">
        <f>IF(
Cleaned_Data[[#This Row],[Current Price]]="",
"Missing",
IF(
Cleaned_Data[[#This Row],[Current Price]]&lt;=Analysis!$B$3,
"Low Price",
IF(
Cleaned_Data[[#This Row],[Current Price]]&lt;=Analysis!$B$4,
"Medium Price",
"High Price"
)
)
)</f>
        <v>Medium Price</v>
      </c>
      <c r="K52" s="15" t="str">
        <f>IF(Cleaned_Data[[#This Row],[Review]]="","Missing",IF(Cleaned_Data[[#This Row],[Review]]&gt;=Engagement_Threshold,"Strong Engagement","Weak Engagement"))</f>
        <v>Missing</v>
      </c>
      <c r="L52" s="15" t="str">
        <f>IF(OR(Cleaned_Data[[#This Row],[Discount]]="",Cleaned_Data[[#This Row],[Rating]]=""),"Missing",IF(AND(Cleaned_Data[[#This Row],[Discount Category]]="High Discount",Cleaned_Data[[#This Row],[Rating Category]]="Poor"),"Flag","OK"))</f>
        <v>Missing</v>
      </c>
      <c r="M52" s="15" t="str">
        <f>IF(OR(Cleaned_Data[[#This Row],[Discount]]="",Cleaned_Data[[#This Row],[Review]]=""),"Missing",IF(AND(Cleaned_Data[[#This Row],[Discount Category]]="High Discount",Cleaned_Data[[#This Row],[Engagement]]="Weak Engagement"),"Flag","OK"))</f>
        <v>Missing</v>
      </c>
      <c r="N52" s="15" t="str">
        <f>IF(OR(Cleaned_Data[[#This Row],[Review]]="",Cleaned_Data[[#This Row],[Rating]]=""),"Missing",IF(AND(Cleaned_Data[[#This Row],[Engagement]]="Strong Engagement",Cleaned_Data[[#This Row],[Rating Category]]="Average"),"Flag","OK"))</f>
        <v>Missing</v>
      </c>
      <c r="O52" s="15" t="str">
        <f>IF(OR(Cleaned_Data[[#This Row],[Review]]="",Cleaned_Data[[#This Row],[Rating]]=""),"Missing",IF(AND(Cleaned_Data[[#This Row],[Engagement]]="Strong Engagement",Cleaned_Data[[#This Row],[Rating Category]]="Excellent"),"Flag","OK"))</f>
        <v>Missing</v>
      </c>
      <c r="P52" s="15" t="str">
        <f>IF(Cleaned_Data[[#This Row],[Rating]]="","Missing Rating","Has Rating")</f>
        <v>Missing Rating</v>
      </c>
      <c r="Q52" s="7">
        <f>IFERROR(
(Cleaned_Data[[#This Row],[Old Price]]-Cleaned_Data[[#This Row],[Current Price]])/Cleaned_Data[[#This Row],[Old Price]],
""
)</f>
        <v>2.2954679223072396E-2</v>
      </c>
      <c r="R52" s="7" t="str">
        <f>IF( Cleaned_Data[[#This Row],[Discount]] -
 Cleaned_Data[[#This Row],[Calculated Discount]]&gt;2%,
"Check",
"OK"
)</f>
        <v>OK</v>
      </c>
      <c r="S52" t="str">
        <f>IF(OR(Cleaned_Data[[#This Row],[Rating]]&lt;0,Cleaned_Data[[#This Row],[Rating]]&gt;5),"Check rating","OK")</f>
        <v>OK</v>
      </c>
      <c r="T52" t="str">
        <f>IF(OR(Cleaned_Data[[#This Row],[Discount]]&lt;0,Cleaned_Data[[#This Row],[Discount]]&gt;1),"Check discount","OK")</f>
        <v>OK</v>
      </c>
      <c r="U52" t="str">
        <f>IF(Cleaned_Data[[#This Row],[Current Price]]&gt;Cleaned_Data[[#This Row],[Old Price]],"Check prices","OK")</f>
        <v>OK</v>
      </c>
    </row>
    <row r="53" spans="1:21">
      <c r="A53" t="s">
        <v>164</v>
      </c>
      <c r="B53" s="8">
        <v>299</v>
      </c>
      <c r="C53" s="8">
        <v>384</v>
      </c>
      <c r="D53" s="7">
        <v>0.22</v>
      </c>
      <c r="G53">
        <f>Cleaned_Data[[#This Row],[Old Price]]-Cleaned_Data[[#This Row],[Current Price]]</f>
        <v>85</v>
      </c>
      <c r="H53" s="15" t="str">
        <f>IF(Cleaned_Data[[#This Row],[Rating]]="","Missing",IF(Cleaned_Data[[#This Row],[Rating]]&lt;3,"Poor",IF(Cleaned_Data[[#This Row],[Rating]]&lt;=4.5,"Average","Excellent")))</f>
        <v>Missing</v>
      </c>
      <c r="I53" s="15" t="str">
        <f>IF(
Cleaned_Data[[#This Row],[Discount]]="",
"Missing",
IF(
Cleaned_Data[[#This Row],[Discount]]&lt;20%,
"Low Discount",
IF(
Cleaned_Data[[#This Row],[Discount]]&lt;=40%,
"Medium Discount",
"High Discount"
)
)
)</f>
        <v>Medium Discount</v>
      </c>
      <c r="J53" s="15" t="str">
        <f>IF(
Cleaned_Data[[#This Row],[Current Price]]="",
"Missing",
IF(
Cleaned_Data[[#This Row],[Current Price]]&lt;=Analysis!$B$3,
"Low Price",
IF(
Cleaned_Data[[#This Row],[Current Price]]&lt;=Analysis!$B$4,
"Medium Price",
"High Price"
)
)
)</f>
        <v>Low Price</v>
      </c>
      <c r="K53" s="15" t="str">
        <f>IF(Cleaned_Data[[#This Row],[Review]]="","Missing",IF(Cleaned_Data[[#This Row],[Review]]&gt;=Engagement_Threshold,"Strong Engagement","Weak Engagement"))</f>
        <v>Missing</v>
      </c>
      <c r="L53" s="15" t="str">
        <f>IF(OR(Cleaned_Data[[#This Row],[Discount]]="",Cleaned_Data[[#This Row],[Rating]]=""),"Missing",IF(AND(Cleaned_Data[[#This Row],[Discount Category]]="High Discount",Cleaned_Data[[#This Row],[Rating Category]]="Poor"),"Flag","OK"))</f>
        <v>Missing</v>
      </c>
      <c r="M53" s="15" t="str">
        <f>IF(OR(Cleaned_Data[[#This Row],[Discount]]="",Cleaned_Data[[#This Row],[Review]]=""),"Missing",IF(AND(Cleaned_Data[[#This Row],[Discount Category]]="High Discount",Cleaned_Data[[#This Row],[Engagement]]="Weak Engagement"),"Flag","OK"))</f>
        <v>Missing</v>
      </c>
      <c r="N53" s="15" t="str">
        <f>IF(OR(Cleaned_Data[[#This Row],[Review]]="",Cleaned_Data[[#This Row],[Rating]]=""),"Missing",IF(AND(Cleaned_Data[[#This Row],[Engagement]]="Strong Engagement",Cleaned_Data[[#This Row],[Rating Category]]="Average"),"Flag","OK"))</f>
        <v>Missing</v>
      </c>
      <c r="O53" s="15" t="str">
        <f>IF(OR(Cleaned_Data[[#This Row],[Review]]="",Cleaned_Data[[#This Row],[Rating]]=""),"Missing",IF(AND(Cleaned_Data[[#This Row],[Engagement]]="Strong Engagement",Cleaned_Data[[#This Row],[Rating Category]]="Excellent"),"Flag","OK"))</f>
        <v>Missing</v>
      </c>
      <c r="P53" s="15" t="str">
        <f>IF(Cleaned_Data[[#This Row],[Rating]]="","Missing Rating","Has Rating")</f>
        <v>Missing Rating</v>
      </c>
      <c r="Q53" s="7">
        <f>IFERROR(
(Cleaned_Data[[#This Row],[Old Price]]-Cleaned_Data[[#This Row],[Current Price]])/Cleaned_Data[[#This Row],[Old Price]],
""
)</f>
        <v>0.22135416666666666</v>
      </c>
      <c r="R53" s="7" t="str">
        <f>IF( Cleaned_Data[[#This Row],[Discount]] -
 Cleaned_Data[[#This Row],[Calculated Discount]]&gt;2%,
"Check",
"OK"
)</f>
        <v>OK</v>
      </c>
      <c r="S53" t="str">
        <f>IF(OR(Cleaned_Data[[#This Row],[Rating]]&lt;0,Cleaned_Data[[#This Row],[Rating]]&gt;5),"Check rating","OK")</f>
        <v>OK</v>
      </c>
      <c r="T53" t="str">
        <f>IF(OR(Cleaned_Data[[#This Row],[Discount]]&lt;0,Cleaned_Data[[#This Row],[Discount]]&gt;1),"Check discount","OK")</f>
        <v>OK</v>
      </c>
      <c r="U53" t="str">
        <f>IF(Cleaned_Data[[#This Row],[Current Price]]&gt;Cleaned_Data[[#This Row],[Old Price]],"Check prices","OK")</f>
        <v>OK</v>
      </c>
    </row>
    <row r="54" spans="1:21">
      <c r="A54" t="s">
        <v>166</v>
      </c>
      <c r="B54" s="8">
        <v>1459</v>
      </c>
      <c r="C54" s="8">
        <v>1499</v>
      </c>
      <c r="D54" s="7">
        <v>0.03</v>
      </c>
      <c r="G54">
        <f>Cleaned_Data[[#This Row],[Old Price]]-Cleaned_Data[[#This Row],[Current Price]]</f>
        <v>40</v>
      </c>
      <c r="H54" s="15" t="str">
        <f>IF(Cleaned_Data[[#This Row],[Rating]]="","Missing",IF(Cleaned_Data[[#This Row],[Rating]]&lt;3,"Poor",IF(Cleaned_Data[[#This Row],[Rating]]&lt;=4.5,"Average","Excellent")))</f>
        <v>Missing</v>
      </c>
      <c r="I54" s="15" t="str">
        <f>IF(
Cleaned_Data[[#This Row],[Discount]]="",
"Missing",
IF(
Cleaned_Data[[#This Row],[Discount]]&lt;20%,
"Low Discount",
IF(
Cleaned_Data[[#This Row],[Discount]]&lt;=40%,
"Medium Discount",
"High Discount"
)
)
)</f>
        <v>Low Discount</v>
      </c>
      <c r="J54" s="15" t="str">
        <f>IF(
Cleaned_Data[[#This Row],[Current Price]]="",
"Missing",
IF(
Cleaned_Data[[#This Row],[Current Price]]&lt;=Analysis!$B$3,
"Low Price",
IF(
Cleaned_Data[[#This Row],[Current Price]]&lt;=Analysis!$B$4,
"Medium Price",
"High Price"
)
)
)</f>
        <v>Medium Price</v>
      </c>
      <c r="K54" s="15" t="str">
        <f>IF(Cleaned_Data[[#This Row],[Review]]="","Missing",IF(Cleaned_Data[[#This Row],[Review]]&gt;=Engagement_Threshold,"Strong Engagement","Weak Engagement"))</f>
        <v>Missing</v>
      </c>
      <c r="L54" s="15" t="str">
        <f>IF(OR(Cleaned_Data[[#This Row],[Discount]]="",Cleaned_Data[[#This Row],[Rating]]=""),"Missing",IF(AND(Cleaned_Data[[#This Row],[Discount Category]]="High Discount",Cleaned_Data[[#This Row],[Rating Category]]="Poor"),"Flag","OK"))</f>
        <v>Missing</v>
      </c>
      <c r="M54" s="15" t="str">
        <f>IF(OR(Cleaned_Data[[#This Row],[Discount]]="",Cleaned_Data[[#This Row],[Review]]=""),"Missing",IF(AND(Cleaned_Data[[#This Row],[Discount Category]]="High Discount",Cleaned_Data[[#This Row],[Engagement]]="Weak Engagement"),"Flag","OK"))</f>
        <v>Missing</v>
      </c>
      <c r="N54" s="15" t="str">
        <f>IF(OR(Cleaned_Data[[#This Row],[Review]]="",Cleaned_Data[[#This Row],[Rating]]=""),"Missing",IF(AND(Cleaned_Data[[#This Row],[Engagement]]="Strong Engagement",Cleaned_Data[[#This Row],[Rating Category]]="Average"),"Flag","OK"))</f>
        <v>Missing</v>
      </c>
      <c r="O54" s="15" t="str">
        <f>IF(OR(Cleaned_Data[[#This Row],[Review]]="",Cleaned_Data[[#This Row],[Rating]]=""),"Missing",IF(AND(Cleaned_Data[[#This Row],[Engagement]]="Strong Engagement",Cleaned_Data[[#This Row],[Rating Category]]="Excellent"),"Flag","OK"))</f>
        <v>Missing</v>
      </c>
      <c r="P54" s="15" t="str">
        <f>IF(Cleaned_Data[[#This Row],[Rating]]="","Missing Rating","Has Rating")</f>
        <v>Missing Rating</v>
      </c>
      <c r="Q54" s="7">
        <f>IFERROR(
(Cleaned_Data[[#This Row],[Old Price]]-Cleaned_Data[[#This Row],[Current Price]])/Cleaned_Data[[#This Row],[Old Price]],
""
)</f>
        <v>2.6684456304202801E-2</v>
      </c>
      <c r="R54" s="7" t="str">
        <f>IF( Cleaned_Data[[#This Row],[Discount]] -
 Cleaned_Data[[#This Row],[Calculated Discount]]&gt;2%,
"Check",
"OK"
)</f>
        <v>OK</v>
      </c>
      <c r="S54" t="str">
        <f>IF(OR(Cleaned_Data[[#This Row],[Rating]]&lt;0,Cleaned_Data[[#This Row],[Rating]]&gt;5),"Check rating","OK")</f>
        <v>OK</v>
      </c>
      <c r="T54" t="str">
        <f>IF(OR(Cleaned_Data[[#This Row],[Discount]]&lt;0,Cleaned_Data[[#This Row],[Discount]]&gt;1),"Check discount","OK")</f>
        <v>OK</v>
      </c>
      <c r="U54" t="str">
        <f>IF(Cleaned_Data[[#This Row],[Current Price]]&gt;Cleaned_Data[[#This Row],[Old Price]],"Check prices","OK")</f>
        <v>OK</v>
      </c>
    </row>
    <row r="55" spans="1:21">
      <c r="A55" t="s">
        <v>169</v>
      </c>
      <c r="B55" s="8">
        <v>799</v>
      </c>
      <c r="C55" s="8">
        <v>1343</v>
      </c>
      <c r="D55" s="7">
        <v>0.41</v>
      </c>
      <c r="G55">
        <f>Cleaned_Data[[#This Row],[Old Price]]-Cleaned_Data[[#This Row],[Current Price]]</f>
        <v>544</v>
      </c>
      <c r="H55" s="15" t="str">
        <f>IF(Cleaned_Data[[#This Row],[Rating]]="","Missing",IF(Cleaned_Data[[#This Row],[Rating]]&lt;3,"Poor",IF(Cleaned_Data[[#This Row],[Rating]]&lt;=4.5,"Average","Excellent")))</f>
        <v>Missing</v>
      </c>
      <c r="I55" s="15" t="str">
        <f>IF(
Cleaned_Data[[#This Row],[Discount]]="",
"Missing",
IF(
Cleaned_Data[[#This Row],[Discount]]&lt;20%,
"Low Discount",
IF(
Cleaned_Data[[#This Row],[Discount]]&lt;=40%,
"Medium Discount",
"High Discount"
)
)
)</f>
        <v>High Discount</v>
      </c>
      <c r="J55" s="15" t="str">
        <f>IF(
Cleaned_Data[[#This Row],[Current Price]]="",
"Missing",
IF(
Cleaned_Data[[#This Row],[Current Price]]&lt;=Analysis!$B$3,
"Low Price",
IF(
Cleaned_Data[[#This Row],[Current Price]]&lt;=Analysis!$B$4,
"Medium Price",
"High Price"
)
)
)</f>
        <v>Medium Price</v>
      </c>
      <c r="K55" s="15" t="str">
        <f>IF(Cleaned_Data[[#This Row],[Review]]="","Missing",IF(Cleaned_Data[[#This Row],[Review]]&gt;=Engagement_Threshold,"Strong Engagement","Weak Engagement"))</f>
        <v>Missing</v>
      </c>
      <c r="L55" s="15" t="str">
        <f>IF(OR(Cleaned_Data[[#This Row],[Discount]]="",Cleaned_Data[[#This Row],[Rating]]=""),"Missing",IF(AND(Cleaned_Data[[#This Row],[Discount Category]]="High Discount",Cleaned_Data[[#This Row],[Rating Category]]="Poor"),"Flag","OK"))</f>
        <v>Missing</v>
      </c>
      <c r="M55" s="15" t="str">
        <f>IF(OR(Cleaned_Data[[#This Row],[Discount]]="",Cleaned_Data[[#This Row],[Review]]=""),"Missing",IF(AND(Cleaned_Data[[#This Row],[Discount Category]]="High Discount",Cleaned_Data[[#This Row],[Engagement]]="Weak Engagement"),"Flag","OK"))</f>
        <v>Missing</v>
      </c>
      <c r="N55" s="15" t="str">
        <f>IF(OR(Cleaned_Data[[#This Row],[Review]]="",Cleaned_Data[[#This Row],[Rating]]=""),"Missing",IF(AND(Cleaned_Data[[#This Row],[Engagement]]="Strong Engagement",Cleaned_Data[[#This Row],[Rating Category]]="Average"),"Flag","OK"))</f>
        <v>Missing</v>
      </c>
      <c r="O55" s="15" t="str">
        <f>IF(OR(Cleaned_Data[[#This Row],[Review]]="",Cleaned_Data[[#This Row],[Rating]]=""),"Missing",IF(AND(Cleaned_Data[[#This Row],[Engagement]]="Strong Engagement",Cleaned_Data[[#This Row],[Rating Category]]="Excellent"),"Flag","OK"))</f>
        <v>Missing</v>
      </c>
      <c r="P55" s="15" t="str">
        <f>IF(Cleaned_Data[[#This Row],[Rating]]="","Missing Rating","Has Rating")</f>
        <v>Missing Rating</v>
      </c>
      <c r="Q55" s="7">
        <f>IFERROR(
(Cleaned_Data[[#This Row],[Old Price]]-Cleaned_Data[[#This Row],[Current Price]])/Cleaned_Data[[#This Row],[Old Price]],
""
)</f>
        <v>0.4050632911392405</v>
      </c>
      <c r="R55" s="7" t="str">
        <f>IF( Cleaned_Data[[#This Row],[Discount]] -
 Cleaned_Data[[#This Row],[Calculated Discount]]&gt;2%,
"Check",
"OK"
)</f>
        <v>OK</v>
      </c>
      <c r="S55" t="str">
        <f>IF(OR(Cleaned_Data[[#This Row],[Rating]]&lt;0,Cleaned_Data[[#This Row],[Rating]]&gt;5),"Check rating","OK")</f>
        <v>OK</v>
      </c>
      <c r="T55" t="str">
        <f>IF(OR(Cleaned_Data[[#This Row],[Discount]]&lt;0,Cleaned_Data[[#This Row],[Discount]]&gt;1),"Check discount","OK")</f>
        <v>OK</v>
      </c>
      <c r="U55" t="str">
        <f>IF(Cleaned_Data[[#This Row],[Current Price]]&gt;Cleaned_Data[[#This Row],[Old Price]],"Check prices","OK")</f>
        <v>OK</v>
      </c>
    </row>
    <row r="56" spans="1:21">
      <c r="A56" t="s">
        <v>171</v>
      </c>
      <c r="B56" s="8">
        <v>499</v>
      </c>
      <c r="C56" s="8">
        <v>900</v>
      </c>
      <c r="D56" s="7">
        <v>0.45</v>
      </c>
      <c r="G56">
        <f>Cleaned_Data[[#This Row],[Old Price]]-Cleaned_Data[[#This Row],[Current Price]]</f>
        <v>401</v>
      </c>
      <c r="H56" s="15" t="str">
        <f>IF(Cleaned_Data[[#This Row],[Rating]]="","Missing",IF(Cleaned_Data[[#This Row],[Rating]]&lt;3,"Poor",IF(Cleaned_Data[[#This Row],[Rating]]&lt;=4.5,"Average","Excellent")))</f>
        <v>Missing</v>
      </c>
      <c r="I56" s="15" t="str">
        <f>IF(
Cleaned_Data[[#This Row],[Discount]]="",
"Missing",
IF(
Cleaned_Data[[#This Row],[Discount]]&lt;20%,
"Low Discount",
IF(
Cleaned_Data[[#This Row],[Discount]]&lt;=40%,
"Medium Discount",
"High Discount"
)
)
)</f>
        <v>High Discount</v>
      </c>
      <c r="J56" s="15" t="str">
        <f>IF(
Cleaned_Data[[#This Row],[Current Price]]="",
"Missing",
IF(
Cleaned_Data[[#This Row],[Current Price]]&lt;=Analysis!$B$3,
"Low Price",
IF(
Cleaned_Data[[#This Row],[Current Price]]&lt;=Analysis!$B$4,
"Medium Price",
"High Price"
)
)
)</f>
        <v>Medium Price</v>
      </c>
      <c r="K56" s="15" t="str">
        <f>IF(Cleaned_Data[[#This Row],[Review]]="","Missing",IF(Cleaned_Data[[#This Row],[Review]]&gt;=Engagement_Threshold,"Strong Engagement","Weak Engagement"))</f>
        <v>Missing</v>
      </c>
      <c r="L56" s="15" t="str">
        <f>IF(OR(Cleaned_Data[[#This Row],[Discount]]="",Cleaned_Data[[#This Row],[Rating]]=""),"Missing",IF(AND(Cleaned_Data[[#This Row],[Discount Category]]="High Discount",Cleaned_Data[[#This Row],[Rating Category]]="Poor"),"Flag","OK"))</f>
        <v>Missing</v>
      </c>
      <c r="M56" s="15" t="str">
        <f>IF(OR(Cleaned_Data[[#This Row],[Discount]]="",Cleaned_Data[[#This Row],[Review]]=""),"Missing",IF(AND(Cleaned_Data[[#This Row],[Discount Category]]="High Discount",Cleaned_Data[[#This Row],[Engagement]]="Weak Engagement"),"Flag","OK"))</f>
        <v>Missing</v>
      </c>
      <c r="N56" s="15" t="str">
        <f>IF(OR(Cleaned_Data[[#This Row],[Review]]="",Cleaned_Data[[#This Row],[Rating]]=""),"Missing",IF(AND(Cleaned_Data[[#This Row],[Engagement]]="Strong Engagement",Cleaned_Data[[#This Row],[Rating Category]]="Average"),"Flag","OK"))</f>
        <v>Missing</v>
      </c>
      <c r="O56" s="15" t="str">
        <f>IF(OR(Cleaned_Data[[#This Row],[Review]]="",Cleaned_Data[[#This Row],[Rating]]=""),"Missing",IF(AND(Cleaned_Data[[#This Row],[Engagement]]="Strong Engagement",Cleaned_Data[[#This Row],[Rating Category]]="Excellent"),"Flag","OK"))</f>
        <v>Missing</v>
      </c>
      <c r="P56" s="15" t="str">
        <f>IF(Cleaned_Data[[#This Row],[Rating]]="","Missing Rating","Has Rating")</f>
        <v>Missing Rating</v>
      </c>
      <c r="Q56" s="7">
        <f>IFERROR(
(Cleaned_Data[[#This Row],[Old Price]]-Cleaned_Data[[#This Row],[Current Price]])/Cleaned_Data[[#This Row],[Old Price]],
""
)</f>
        <v>0.44555555555555554</v>
      </c>
      <c r="R56" s="7" t="str">
        <f>IF( Cleaned_Data[[#This Row],[Discount]] -
 Cleaned_Data[[#This Row],[Calculated Discount]]&gt;2%,
"Check",
"OK"
)</f>
        <v>OK</v>
      </c>
      <c r="S56" t="str">
        <f>IF(OR(Cleaned_Data[[#This Row],[Rating]]&lt;0,Cleaned_Data[[#This Row],[Rating]]&gt;5),"Check rating","OK")</f>
        <v>OK</v>
      </c>
      <c r="T56" t="str">
        <f>IF(OR(Cleaned_Data[[#This Row],[Discount]]&lt;0,Cleaned_Data[[#This Row],[Discount]]&gt;1),"Check discount","OK")</f>
        <v>OK</v>
      </c>
      <c r="U56" t="str">
        <f>IF(Cleaned_Data[[#This Row],[Current Price]]&gt;Cleaned_Data[[#This Row],[Old Price]],"Check prices","OK")</f>
        <v>OK</v>
      </c>
    </row>
    <row r="57" spans="1:21">
      <c r="A57" t="s">
        <v>174</v>
      </c>
      <c r="B57" s="8">
        <v>699</v>
      </c>
      <c r="C57" s="8">
        <v>1343</v>
      </c>
      <c r="D57" s="7">
        <v>0.48</v>
      </c>
      <c r="G57">
        <f>Cleaned_Data[[#This Row],[Old Price]]-Cleaned_Data[[#This Row],[Current Price]]</f>
        <v>644</v>
      </c>
      <c r="H57" s="15" t="str">
        <f>IF(Cleaned_Data[[#This Row],[Rating]]="","Missing",IF(Cleaned_Data[[#This Row],[Rating]]&lt;3,"Poor",IF(Cleaned_Data[[#This Row],[Rating]]&lt;=4.5,"Average","Excellent")))</f>
        <v>Missing</v>
      </c>
      <c r="I57" s="15" t="str">
        <f>IF(
Cleaned_Data[[#This Row],[Discount]]="",
"Missing",
IF(
Cleaned_Data[[#This Row],[Discount]]&lt;20%,
"Low Discount",
IF(
Cleaned_Data[[#This Row],[Discount]]&lt;=40%,
"Medium Discount",
"High Discount"
)
)
)</f>
        <v>High Discount</v>
      </c>
      <c r="J57" s="15" t="str">
        <f>IF(
Cleaned_Data[[#This Row],[Current Price]]="",
"Missing",
IF(
Cleaned_Data[[#This Row],[Current Price]]&lt;=Analysis!$B$3,
"Low Price",
IF(
Cleaned_Data[[#This Row],[Current Price]]&lt;=Analysis!$B$4,
"Medium Price",
"High Price"
)
)
)</f>
        <v>Medium Price</v>
      </c>
      <c r="K57" s="15" t="str">
        <f>IF(Cleaned_Data[[#This Row],[Review]]="","Missing",IF(Cleaned_Data[[#This Row],[Review]]&gt;=Engagement_Threshold,"Strong Engagement","Weak Engagement"))</f>
        <v>Missing</v>
      </c>
      <c r="L57" s="15" t="str">
        <f>IF(OR(Cleaned_Data[[#This Row],[Discount]]="",Cleaned_Data[[#This Row],[Rating]]=""),"Missing",IF(AND(Cleaned_Data[[#This Row],[Discount Category]]="High Discount",Cleaned_Data[[#This Row],[Rating Category]]="Poor"),"Flag","OK"))</f>
        <v>Missing</v>
      </c>
      <c r="M57" s="15" t="str">
        <f>IF(OR(Cleaned_Data[[#This Row],[Discount]]="",Cleaned_Data[[#This Row],[Review]]=""),"Missing",IF(AND(Cleaned_Data[[#This Row],[Discount Category]]="High Discount",Cleaned_Data[[#This Row],[Engagement]]="Weak Engagement"),"Flag","OK"))</f>
        <v>Missing</v>
      </c>
      <c r="N57" s="15" t="str">
        <f>IF(OR(Cleaned_Data[[#This Row],[Review]]="",Cleaned_Data[[#This Row],[Rating]]=""),"Missing",IF(AND(Cleaned_Data[[#This Row],[Engagement]]="Strong Engagement",Cleaned_Data[[#This Row],[Rating Category]]="Average"),"Flag","OK"))</f>
        <v>Missing</v>
      </c>
      <c r="O57" s="15" t="str">
        <f>IF(OR(Cleaned_Data[[#This Row],[Review]]="",Cleaned_Data[[#This Row],[Rating]]=""),"Missing",IF(AND(Cleaned_Data[[#This Row],[Engagement]]="Strong Engagement",Cleaned_Data[[#This Row],[Rating Category]]="Excellent"),"Flag","OK"))</f>
        <v>Missing</v>
      </c>
      <c r="P57" s="15" t="str">
        <f>IF(Cleaned_Data[[#This Row],[Rating]]="","Missing Rating","Has Rating")</f>
        <v>Missing Rating</v>
      </c>
      <c r="Q57" s="7">
        <f>IFERROR(
(Cleaned_Data[[#This Row],[Old Price]]-Cleaned_Data[[#This Row],[Current Price]])/Cleaned_Data[[#This Row],[Old Price]],
""
)</f>
        <v>0.47952345495160087</v>
      </c>
      <c r="R57" s="7" t="str">
        <f>IF( Cleaned_Data[[#This Row],[Discount]] -
 Cleaned_Data[[#This Row],[Calculated Discount]]&gt;2%,
"Check",
"OK"
)</f>
        <v>OK</v>
      </c>
      <c r="S57" t="str">
        <f>IF(OR(Cleaned_Data[[#This Row],[Rating]]&lt;0,Cleaned_Data[[#This Row],[Rating]]&gt;5),"Check rating","OK")</f>
        <v>OK</v>
      </c>
      <c r="T57" t="str">
        <f>IF(OR(Cleaned_Data[[#This Row],[Discount]]&lt;0,Cleaned_Data[[#This Row],[Discount]]&gt;1),"Check discount","OK")</f>
        <v>OK</v>
      </c>
      <c r="U57" t="str">
        <f>IF(Cleaned_Data[[#This Row],[Current Price]]&gt;Cleaned_Data[[#This Row],[Old Price]],"Check prices","OK")</f>
        <v>OK</v>
      </c>
    </row>
    <row r="58" spans="1:21">
      <c r="A58" t="s">
        <v>176</v>
      </c>
      <c r="B58" s="8">
        <v>799</v>
      </c>
      <c r="C58" s="8">
        <v>1567</v>
      </c>
      <c r="D58" s="7">
        <v>0.49</v>
      </c>
      <c r="G58">
        <f>Cleaned_Data[[#This Row],[Old Price]]-Cleaned_Data[[#This Row],[Current Price]]</f>
        <v>768</v>
      </c>
      <c r="H58" s="15" t="str">
        <f>IF(Cleaned_Data[[#This Row],[Rating]]="","Missing",IF(Cleaned_Data[[#This Row],[Rating]]&lt;3,"Poor",IF(Cleaned_Data[[#This Row],[Rating]]&lt;=4.5,"Average","Excellent")))</f>
        <v>Missing</v>
      </c>
      <c r="I58" s="15" t="str">
        <f>IF(
Cleaned_Data[[#This Row],[Discount]]="",
"Missing",
IF(
Cleaned_Data[[#This Row],[Discount]]&lt;20%,
"Low Discount",
IF(
Cleaned_Data[[#This Row],[Discount]]&lt;=40%,
"Medium Discount",
"High Discount"
)
)
)</f>
        <v>High Discount</v>
      </c>
      <c r="J58" s="15" t="str">
        <f>IF(
Cleaned_Data[[#This Row],[Current Price]]="",
"Missing",
IF(
Cleaned_Data[[#This Row],[Current Price]]&lt;=Analysis!$B$3,
"Low Price",
IF(
Cleaned_Data[[#This Row],[Current Price]]&lt;=Analysis!$B$4,
"Medium Price",
"High Price"
)
)
)</f>
        <v>Medium Price</v>
      </c>
      <c r="K58" s="15" t="str">
        <f>IF(Cleaned_Data[[#This Row],[Review]]="","Missing",IF(Cleaned_Data[[#This Row],[Review]]&gt;=Engagement_Threshold,"Strong Engagement","Weak Engagement"))</f>
        <v>Missing</v>
      </c>
      <c r="L58" s="15" t="str">
        <f>IF(OR(Cleaned_Data[[#This Row],[Discount]]="",Cleaned_Data[[#This Row],[Rating]]=""),"Missing",IF(AND(Cleaned_Data[[#This Row],[Discount Category]]="High Discount",Cleaned_Data[[#This Row],[Rating Category]]="Poor"),"Flag","OK"))</f>
        <v>Missing</v>
      </c>
      <c r="M58" s="15" t="str">
        <f>IF(OR(Cleaned_Data[[#This Row],[Discount]]="",Cleaned_Data[[#This Row],[Review]]=""),"Missing",IF(AND(Cleaned_Data[[#This Row],[Discount Category]]="High Discount",Cleaned_Data[[#This Row],[Engagement]]="Weak Engagement"),"Flag","OK"))</f>
        <v>Missing</v>
      </c>
      <c r="N58" s="15" t="str">
        <f>IF(OR(Cleaned_Data[[#This Row],[Review]]="",Cleaned_Data[[#This Row],[Rating]]=""),"Missing",IF(AND(Cleaned_Data[[#This Row],[Engagement]]="Strong Engagement",Cleaned_Data[[#This Row],[Rating Category]]="Average"),"Flag","OK"))</f>
        <v>Missing</v>
      </c>
      <c r="O58" s="15" t="str">
        <f>IF(OR(Cleaned_Data[[#This Row],[Review]]="",Cleaned_Data[[#This Row],[Rating]]=""),"Missing",IF(AND(Cleaned_Data[[#This Row],[Engagement]]="Strong Engagement",Cleaned_Data[[#This Row],[Rating Category]]="Excellent"),"Flag","OK"))</f>
        <v>Missing</v>
      </c>
      <c r="P58" s="15" t="str">
        <f>IF(Cleaned_Data[[#This Row],[Rating]]="","Missing Rating","Has Rating")</f>
        <v>Missing Rating</v>
      </c>
      <c r="Q58" s="7">
        <f>IFERROR(
(Cleaned_Data[[#This Row],[Old Price]]-Cleaned_Data[[#This Row],[Current Price]])/Cleaned_Data[[#This Row],[Old Price]],
""
)</f>
        <v>0.49010848755583919</v>
      </c>
      <c r="R58" s="7" t="str">
        <f>IF( Cleaned_Data[[#This Row],[Discount]] -
 Cleaned_Data[[#This Row],[Calculated Discount]]&gt;2%,
"Check",
"OK"
)</f>
        <v>OK</v>
      </c>
      <c r="S58" t="str">
        <f>IF(OR(Cleaned_Data[[#This Row],[Rating]]&lt;0,Cleaned_Data[[#This Row],[Rating]]&gt;5),"Check rating","OK")</f>
        <v>OK</v>
      </c>
      <c r="T58" t="str">
        <f>IF(OR(Cleaned_Data[[#This Row],[Discount]]&lt;0,Cleaned_Data[[#This Row],[Discount]]&gt;1),"Check discount","OK")</f>
        <v>OK</v>
      </c>
      <c r="U58" t="str">
        <f>IF(Cleaned_Data[[#This Row],[Current Price]]&gt;Cleaned_Data[[#This Row],[Old Price]],"Check prices","OK")</f>
        <v>OK</v>
      </c>
    </row>
    <row r="59" spans="1:21">
      <c r="A59" t="s">
        <v>178</v>
      </c>
      <c r="B59" s="8">
        <v>2799</v>
      </c>
      <c r="C59" s="8">
        <v>3810</v>
      </c>
      <c r="D59" s="7">
        <v>0.27</v>
      </c>
      <c r="G59">
        <f>Cleaned_Data[[#This Row],[Old Price]]-Cleaned_Data[[#This Row],[Current Price]]</f>
        <v>1011</v>
      </c>
      <c r="H59" s="15" t="str">
        <f>IF(Cleaned_Data[[#This Row],[Rating]]="","Missing",IF(Cleaned_Data[[#This Row],[Rating]]&lt;3,"Poor",IF(Cleaned_Data[[#This Row],[Rating]]&lt;=4.5,"Average","Excellent")))</f>
        <v>Missing</v>
      </c>
      <c r="I59" s="15" t="str">
        <f>IF(
Cleaned_Data[[#This Row],[Discount]]="",
"Missing",
IF(
Cleaned_Data[[#This Row],[Discount]]&lt;20%,
"Low Discount",
IF(
Cleaned_Data[[#This Row],[Discount]]&lt;=40%,
"Medium Discount",
"High Discount"
)
)
)</f>
        <v>Medium Discount</v>
      </c>
      <c r="J59" s="15" t="str">
        <f>IF(
Cleaned_Data[[#This Row],[Current Price]]="",
"Missing",
IF(
Cleaned_Data[[#This Row],[Current Price]]&lt;=Analysis!$B$3,
"Low Price",
IF(
Cleaned_Data[[#This Row],[Current Price]]&lt;=Analysis!$B$4,
"Medium Price",
"High Price"
)
)
)</f>
        <v>High Price</v>
      </c>
      <c r="K59" s="15" t="str">
        <f>IF(Cleaned_Data[[#This Row],[Review]]="","Missing",IF(Cleaned_Data[[#This Row],[Review]]&gt;=Engagement_Threshold,"Strong Engagement","Weak Engagement"))</f>
        <v>Missing</v>
      </c>
      <c r="L59" s="15" t="str">
        <f>IF(OR(Cleaned_Data[[#This Row],[Discount]]="",Cleaned_Data[[#This Row],[Rating]]=""),"Missing",IF(AND(Cleaned_Data[[#This Row],[Discount Category]]="High Discount",Cleaned_Data[[#This Row],[Rating Category]]="Poor"),"Flag","OK"))</f>
        <v>Missing</v>
      </c>
      <c r="M59" s="15" t="str">
        <f>IF(OR(Cleaned_Data[[#This Row],[Discount]]="",Cleaned_Data[[#This Row],[Review]]=""),"Missing",IF(AND(Cleaned_Data[[#This Row],[Discount Category]]="High Discount",Cleaned_Data[[#This Row],[Engagement]]="Weak Engagement"),"Flag","OK"))</f>
        <v>Missing</v>
      </c>
      <c r="N59" s="15" t="str">
        <f>IF(OR(Cleaned_Data[[#This Row],[Review]]="",Cleaned_Data[[#This Row],[Rating]]=""),"Missing",IF(AND(Cleaned_Data[[#This Row],[Engagement]]="Strong Engagement",Cleaned_Data[[#This Row],[Rating Category]]="Average"),"Flag","OK"))</f>
        <v>Missing</v>
      </c>
      <c r="O59" s="15" t="str">
        <f>IF(OR(Cleaned_Data[[#This Row],[Review]]="",Cleaned_Data[[#This Row],[Rating]]=""),"Missing",IF(AND(Cleaned_Data[[#This Row],[Engagement]]="Strong Engagement",Cleaned_Data[[#This Row],[Rating Category]]="Excellent"),"Flag","OK"))</f>
        <v>Missing</v>
      </c>
      <c r="P59" s="15" t="str">
        <f>IF(Cleaned_Data[[#This Row],[Rating]]="","Missing Rating","Has Rating")</f>
        <v>Missing Rating</v>
      </c>
      <c r="Q59" s="7">
        <f>IFERROR(
(Cleaned_Data[[#This Row],[Old Price]]-Cleaned_Data[[#This Row],[Current Price]])/Cleaned_Data[[#This Row],[Old Price]],
""
)</f>
        <v>0.26535433070866143</v>
      </c>
      <c r="R59" s="7" t="str">
        <f>IF( Cleaned_Data[[#This Row],[Discount]] -
 Cleaned_Data[[#This Row],[Calculated Discount]]&gt;2%,
"Check",
"OK"
)</f>
        <v>OK</v>
      </c>
      <c r="S59" t="str">
        <f>IF(OR(Cleaned_Data[[#This Row],[Rating]]&lt;0,Cleaned_Data[[#This Row],[Rating]]&gt;5),"Check rating","OK")</f>
        <v>OK</v>
      </c>
      <c r="T59" t="str">
        <f>IF(OR(Cleaned_Data[[#This Row],[Discount]]&lt;0,Cleaned_Data[[#This Row],[Discount]]&gt;1),"Check discount","OK")</f>
        <v>OK</v>
      </c>
      <c r="U59" t="str">
        <f>IF(Cleaned_Data[[#This Row],[Current Price]]&gt;Cleaned_Data[[#This Row],[Old Price]],"Check prices","OK")</f>
        <v>OK</v>
      </c>
    </row>
    <row r="60" spans="1:21">
      <c r="A60" t="s">
        <v>171</v>
      </c>
      <c r="B60" s="8">
        <v>399</v>
      </c>
      <c r="C60" s="8">
        <v>896</v>
      </c>
      <c r="D60" s="7">
        <v>0.55000000000000004</v>
      </c>
      <c r="G60">
        <f>Cleaned_Data[[#This Row],[Old Price]]-Cleaned_Data[[#This Row],[Current Price]]</f>
        <v>497</v>
      </c>
      <c r="H60" s="15" t="str">
        <f>IF(Cleaned_Data[[#This Row],[Rating]]="","Missing",IF(Cleaned_Data[[#This Row],[Rating]]&lt;3,"Poor",IF(Cleaned_Data[[#This Row],[Rating]]&lt;=4.5,"Average","Excellent")))</f>
        <v>Missing</v>
      </c>
      <c r="I60" s="15" t="str">
        <f>IF(
Cleaned_Data[[#This Row],[Discount]]="",
"Missing",
IF(
Cleaned_Data[[#This Row],[Discount]]&lt;20%,
"Low Discount",
IF(
Cleaned_Data[[#This Row],[Discount]]&lt;=40%,
"Medium Discount",
"High Discount"
)
)
)</f>
        <v>High Discount</v>
      </c>
      <c r="J60" s="15" t="str">
        <f>IF(
Cleaned_Data[[#This Row],[Current Price]]="",
"Missing",
IF(
Cleaned_Data[[#This Row],[Current Price]]&lt;=Analysis!$B$3,
"Low Price",
IF(
Cleaned_Data[[#This Row],[Current Price]]&lt;=Analysis!$B$4,
"Medium Price",
"High Price"
)
)
)</f>
        <v>Low Price</v>
      </c>
      <c r="K60" s="15" t="str">
        <f>IF(Cleaned_Data[[#This Row],[Review]]="","Missing",IF(Cleaned_Data[[#This Row],[Review]]&gt;=Engagement_Threshold,"Strong Engagement","Weak Engagement"))</f>
        <v>Missing</v>
      </c>
      <c r="L60" s="15" t="str">
        <f>IF(OR(Cleaned_Data[[#This Row],[Discount]]="",Cleaned_Data[[#This Row],[Rating]]=""),"Missing",IF(AND(Cleaned_Data[[#This Row],[Discount Category]]="High Discount",Cleaned_Data[[#This Row],[Rating Category]]="Poor"),"Flag","OK"))</f>
        <v>Missing</v>
      </c>
      <c r="M60" s="15" t="str">
        <f>IF(OR(Cleaned_Data[[#This Row],[Discount]]="",Cleaned_Data[[#This Row],[Review]]=""),"Missing",IF(AND(Cleaned_Data[[#This Row],[Discount Category]]="High Discount",Cleaned_Data[[#This Row],[Engagement]]="Weak Engagement"),"Flag","OK"))</f>
        <v>Missing</v>
      </c>
      <c r="N60" s="15" t="str">
        <f>IF(OR(Cleaned_Data[[#This Row],[Review]]="",Cleaned_Data[[#This Row],[Rating]]=""),"Missing",IF(AND(Cleaned_Data[[#This Row],[Engagement]]="Strong Engagement",Cleaned_Data[[#This Row],[Rating Category]]="Average"),"Flag","OK"))</f>
        <v>Missing</v>
      </c>
      <c r="O60" s="15" t="str">
        <f>IF(OR(Cleaned_Data[[#This Row],[Review]]="",Cleaned_Data[[#This Row],[Rating]]=""),"Missing",IF(AND(Cleaned_Data[[#This Row],[Engagement]]="Strong Engagement",Cleaned_Data[[#This Row],[Rating Category]]="Excellent"),"Flag","OK"))</f>
        <v>Missing</v>
      </c>
      <c r="P60" s="15" t="str">
        <f>IF(Cleaned_Data[[#This Row],[Rating]]="","Missing Rating","Has Rating")</f>
        <v>Missing Rating</v>
      </c>
      <c r="Q60" s="7">
        <f>IFERROR(
(Cleaned_Data[[#This Row],[Old Price]]-Cleaned_Data[[#This Row],[Current Price]])/Cleaned_Data[[#This Row],[Old Price]],
""
)</f>
        <v>0.5546875</v>
      </c>
      <c r="R60" s="7" t="str">
        <f>IF( Cleaned_Data[[#This Row],[Discount]] -
 Cleaned_Data[[#This Row],[Calculated Discount]]&gt;2%,
"Check",
"OK"
)</f>
        <v>OK</v>
      </c>
      <c r="S60" t="str">
        <f>IF(OR(Cleaned_Data[[#This Row],[Rating]]&lt;0,Cleaned_Data[[#This Row],[Rating]]&gt;5),"Check rating","OK")</f>
        <v>OK</v>
      </c>
      <c r="T60" t="str">
        <f>IF(OR(Cleaned_Data[[#This Row],[Discount]]&lt;0,Cleaned_Data[[#This Row],[Discount]]&gt;1),"Check discount","OK")</f>
        <v>OK</v>
      </c>
      <c r="U60" t="str">
        <f>IF(Cleaned_Data[[#This Row],[Current Price]]&gt;Cleaned_Data[[#This Row],[Old Price]],"Check prices","OK")</f>
        <v>OK</v>
      </c>
    </row>
    <row r="61" spans="1:21">
      <c r="A61" t="s">
        <v>183</v>
      </c>
      <c r="B61" s="8">
        <v>2170</v>
      </c>
      <c r="C61" s="8">
        <v>2500</v>
      </c>
      <c r="D61" s="7">
        <v>0.13</v>
      </c>
      <c r="E61">
        <v>6</v>
      </c>
      <c r="F61">
        <v>2.5</v>
      </c>
      <c r="G61">
        <f>Cleaned_Data[[#This Row],[Old Price]]-Cleaned_Data[[#This Row],[Current Price]]</f>
        <v>330</v>
      </c>
      <c r="H61" s="15" t="str">
        <f>IF(Cleaned_Data[[#This Row],[Rating]]="","Missing",IF(Cleaned_Data[[#This Row],[Rating]]&lt;3,"Poor",IF(Cleaned_Data[[#This Row],[Rating]]&lt;=4.5,"Average","Excellent")))</f>
        <v>Poor</v>
      </c>
      <c r="I61" s="15" t="str">
        <f>IF(
Cleaned_Data[[#This Row],[Discount]]="",
"Missing",
IF(
Cleaned_Data[[#This Row],[Discount]]&lt;20%,
"Low Discount",
IF(
Cleaned_Data[[#This Row],[Discount]]&lt;=40%,
"Medium Discount",
"High Discount"
)
)
)</f>
        <v>Low Discount</v>
      </c>
      <c r="J61" s="15" t="str">
        <f>IF(
Cleaned_Data[[#This Row],[Current Price]]="",
"Missing",
IF(
Cleaned_Data[[#This Row],[Current Price]]&lt;=Analysis!$B$3,
"Low Price",
IF(
Cleaned_Data[[#This Row],[Current Price]]&lt;=Analysis!$B$4,
"Medium Price",
"High Price"
)
)
)</f>
        <v>High Price</v>
      </c>
      <c r="K61" s="15" t="str">
        <f>IF(Cleaned_Data[[#This Row],[Review]]="","Missing",IF(Cleaned_Data[[#This Row],[Review]]&gt;=Engagement_Threshold,"Strong Engagement","Weak Engagement"))</f>
        <v>Weak Engagement</v>
      </c>
      <c r="L61" s="15" t="str">
        <f>IF(OR(Cleaned_Data[[#This Row],[Discount]]="",Cleaned_Data[[#This Row],[Rating]]=""),"Missing",IF(AND(Cleaned_Data[[#This Row],[Discount Category]]="High Discount",Cleaned_Data[[#This Row],[Rating Category]]="Poor"),"Flag","OK"))</f>
        <v>OK</v>
      </c>
      <c r="M61" s="15" t="str">
        <f>IF(OR(Cleaned_Data[[#This Row],[Discount]]="",Cleaned_Data[[#This Row],[Review]]=""),"Missing",IF(AND(Cleaned_Data[[#This Row],[Discount Category]]="High Discount",Cleaned_Data[[#This Row],[Engagement]]="Weak Engagement"),"Flag","OK"))</f>
        <v>OK</v>
      </c>
      <c r="N61" s="15" t="str">
        <f>IF(OR(Cleaned_Data[[#This Row],[Review]]="",Cleaned_Data[[#This Row],[Rating]]=""),"Missing",IF(AND(Cleaned_Data[[#This Row],[Engagement]]="Strong Engagement",Cleaned_Data[[#This Row],[Rating Category]]="Average"),"Flag","OK"))</f>
        <v>OK</v>
      </c>
      <c r="O61" s="15" t="str">
        <f>IF(OR(Cleaned_Data[[#This Row],[Review]]="",Cleaned_Data[[#This Row],[Rating]]=""),"Missing",IF(AND(Cleaned_Data[[#This Row],[Engagement]]="Strong Engagement",Cleaned_Data[[#This Row],[Rating Category]]="Excellent"),"Flag","OK"))</f>
        <v>OK</v>
      </c>
      <c r="P61" s="15" t="str">
        <f>IF(Cleaned_Data[[#This Row],[Rating]]="","Missing Rating","Has Rating")</f>
        <v>Has Rating</v>
      </c>
      <c r="Q61" s="7">
        <f>IFERROR(
(Cleaned_Data[[#This Row],[Old Price]]-Cleaned_Data[[#This Row],[Current Price]])/Cleaned_Data[[#This Row],[Old Price]],
""
)</f>
        <v>0.13200000000000001</v>
      </c>
      <c r="R61" s="7" t="str">
        <f>IF( Cleaned_Data[[#This Row],[Discount]] -
 Cleaned_Data[[#This Row],[Calculated Discount]]&gt;2%,
"Check",
"OK"
)</f>
        <v>OK</v>
      </c>
      <c r="S61" t="str">
        <f>IF(OR(Cleaned_Data[[#This Row],[Rating]]&lt;0,Cleaned_Data[[#This Row],[Rating]]&gt;5),"Check rating","OK")</f>
        <v>OK</v>
      </c>
      <c r="T61" t="str">
        <f>IF(OR(Cleaned_Data[[#This Row],[Discount]]&lt;0,Cleaned_Data[[#This Row],[Discount]]&gt;1),"Check discount","OK")</f>
        <v>OK</v>
      </c>
      <c r="U61" t="str">
        <f>IF(Cleaned_Data[[#This Row],[Current Price]]&gt;Cleaned_Data[[#This Row],[Old Price]],"Check prices","OK")</f>
        <v>OK</v>
      </c>
    </row>
    <row r="62" spans="1:21">
      <c r="A62" t="s">
        <v>187</v>
      </c>
      <c r="B62" s="8">
        <v>458</v>
      </c>
      <c r="C62" s="8">
        <v>986</v>
      </c>
      <c r="D62" s="7">
        <v>0.54</v>
      </c>
      <c r="E62">
        <v>10</v>
      </c>
      <c r="F62">
        <v>3</v>
      </c>
      <c r="G62">
        <f>Cleaned_Data[[#This Row],[Old Price]]-Cleaned_Data[[#This Row],[Current Price]]</f>
        <v>528</v>
      </c>
      <c r="H62" s="15" t="str">
        <f>IF(Cleaned_Data[[#This Row],[Rating]]="","Missing",IF(Cleaned_Data[[#This Row],[Rating]]&lt;3,"Poor",IF(Cleaned_Data[[#This Row],[Rating]]&lt;=4.5,"Average","Excellent")))</f>
        <v>Average</v>
      </c>
      <c r="I62" s="15" t="str">
        <f>IF(
Cleaned_Data[[#This Row],[Discount]]="",
"Missing",
IF(
Cleaned_Data[[#This Row],[Discount]]&lt;20%,
"Low Discount",
IF(
Cleaned_Data[[#This Row],[Discount]]&lt;=40%,
"Medium Discount",
"High Discount"
)
)
)</f>
        <v>High Discount</v>
      </c>
      <c r="J62" s="15" t="str">
        <f>IF(
Cleaned_Data[[#This Row],[Current Price]]="",
"Missing",
IF(
Cleaned_Data[[#This Row],[Current Price]]&lt;=Analysis!$B$3,
"Low Price",
IF(
Cleaned_Data[[#This Row],[Current Price]]&lt;=Analysis!$B$4,
"Medium Price",
"High Price"
)
)
)</f>
        <v>Low Price</v>
      </c>
      <c r="K62" s="15" t="str">
        <f>IF(Cleaned_Data[[#This Row],[Review]]="","Missing",IF(Cleaned_Data[[#This Row],[Review]]&gt;=Engagement_Threshold,"Strong Engagement","Weak Engagement"))</f>
        <v>Weak Engagement</v>
      </c>
      <c r="L62" s="15" t="str">
        <f>IF(OR(Cleaned_Data[[#This Row],[Discount]]="",Cleaned_Data[[#This Row],[Rating]]=""),"Missing",IF(AND(Cleaned_Data[[#This Row],[Discount Category]]="High Discount",Cleaned_Data[[#This Row],[Rating Category]]="Poor"),"Flag","OK"))</f>
        <v>OK</v>
      </c>
      <c r="M62" s="15" t="str">
        <f>IF(OR(Cleaned_Data[[#This Row],[Discount]]="",Cleaned_Data[[#This Row],[Review]]=""),"Missing",IF(AND(Cleaned_Data[[#This Row],[Discount Category]]="High Discount",Cleaned_Data[[#This Row],[Engagement]]="Weak Engagement"),"Flag","OK"))</f>
        <v>Flag</v>
      </c>
      <c r="N62" s="15" t="str">
        <f>IF(OR(Cleaned_Data[[#This Row],[Review]]="",Cleaned_Data[[#This Row],[Rating]]=""),"Missing",IF(AND(Cleaned_Data[[#This Row],[Engagement]]="Strong Engagement",Cleaned_Data[[#This Row],[Rating Category]]="Average"),"Flag","OK"))</f>
        <v>OK</v>
      </c>
      <c r="O62" s="15" t="str">
        <f>IF(OR(Cleaned_Data[[#This Row],[Review]]="",Cleaned_Data[[#This Row],[Rating]]=""),"Missing",IF(AND(Cleaned_Data[[#This Row],[Engagement]]="Strong Engagement",Cleaned_Data[[#This Row],[Rating Category]]="Excellent"),"Flag","OK"))</f>
        <v>OK</v>
      </c>
      <c r="P62" s="15" t="str">
        <f>IF(Cleaned_Data[[#This Row],[Rating]]="","Missing Rating","Has Rating")</f>
        <v>Has Rating</v>
      </c>
      <c r="Q62" s="7">
        <f>IFERROR(
(Cleaned_Data[[#This Row],[Old Price]]-Cleaned_Data[[#This Row],[Current Price]])/Cleaned_Data[[#This Row],[Old Price]],
""
)</f>
        <v>0.53549695740365111</v>
      </c>
      <c r="R62" s="7" t="str">
        <f>IF( Cleaned_Data[[#This Row],[Discount]] -
 Cleaned_Data[[#This Row],[Calculated Discount]]&gt;2%,
"Check",
"OK"
)</f>
        <v>OK</v>
      </c>
      <c r="S62" t="str">
        <f>IF(OR(Cleaned_Data[[#This Row],[Rating]]&lt;0,Cleaned_Data[[#This Row],[Rating]]&gt;5),"Check rating","OK")</f>
        <v>OK</v>
      </c>
      <c r="T62" t="str">
        <f>IF(OR(Cleaned_Data[[#This Row],[Discount]]&lt;0,Cleaned_Data[[#This Row],[Discount]]&gt;1),"Check discount","OK")</f>
        <v>OK</v>
      </c>
      <c r="U62" t="str">
        <f>IF(Cleaned_Data[[#This Row],[Current Price]]&gt;Cleaned_Data[[#This Row],[Old Price]],"Check prices","OK")</f>
        <v>OK</v>
      </c>
    </row>
    <row r="63" spans="1:21">
      <c r="A63" t="s">
        <v>191</v>
      </c>
      <c r="B63" s="8">
        <v>2115</v>
      </c>
      <c r="C63" s="8">
        <v>4700</v>
      </c>
      <c r="D63" s="7">
        <v>0.55000000000000004</v>
      </c>
      <c r="E63">
        <v>13</v>
      </c>
      <c r="F63">
        <v>2.1</v>
      </c>
      <c r="G63">
        <f>Cleaned_Data[[#This Row],[Old Price]]-Cleaned_Data[[#This Row],[Current Price]]</f>
        <v>2585</v>
      </c>
      <c r="H63" s="15" t="str">
        <f>IF(Cleaned_Data[[#This Row],[Rating]]="","Missing",IF(Cleaned_Data[[#This Row],[Rating]]&lt;3,"Poor",IF(Cleaned_Data[[#This Row],[Rating]]&lt;=4.5,"Average","Excellent")))</f>
        <v>Poor</v>
      </c>
      <c r="I63" s="15" t="str">
        <f>IF(
Cleaned_Data[[#This Row],[Discount]]="",
"Missing",
IF(
Cleaned_Data[[#This Row],[Discount]]&lt;20%,
"Low Discount",
IF(
Cleaned_Data[[#This Row],[Discount]]&lt;=40%,
"Medium Discount",
"High Discount"
)
)
)</f>
        <v>High Discount</v>
      </c>
      <c r="J63" s="15" t="str">
        <f>IF(
Cleaned_Data[[#This Row],[Current Price]]="",
"Missing",
IF(
Cleaned_Data[[#This Row],[Current Price]]&lt;=Analysis!$B$3,
"Low Price",
IF(
Cleaned_Data[[#This Row],[Current Price]]&lt;=Analysis!$B$4,
"Medium Price",
"High Price"
)
)
)</f>
        <v>High Price</v>
      </c>
      <c r="K63" s="15" t="str">
        <f>IF(Cleaned_Data[[#This Row],[Review]]="","Missing",IF(Cleaned_Data[[#This Row],[Review]]&gt;=Engagement_Threshold,"Strong Engagement","Weak Engagement"))</f>
        <v>Weak Engagement</v>
      </c>
      <c r="L63" s="15" t="str">
        <f>IF(OR(Cleaned_Data[[#This Row],[Discount]]="",Cleaned_Data[[#This Row],[Rating]]=""),"Missing",IF(AND(Cleaned_Data[[#This Row],[Discount Category]]="High Discount",Cleaned_Data[[#This Row],[Rating Category]]="Poor"),"Flag","OK"))</f>
        <v>Flag</v>
      </c>
      <c r="M63" s="15" t="str">
        <f>IF(OR(Cleaned_Data[[#This Row],[Discount]]="",Cleaned_Data[[#This Row],[Review]]=""),"Missing",IF(AND(Cleaned_Data[[#This Row],[Discount Category]]="High Discount",Cleaned_Data[[#This Row],[Engagement]]="Weak Engagement"),"Flag","OK"))</f>
        <v>Flag</v>
      </c>
      <c r="N63" s="15" t="str">
        <f>IF(OR(Cleaned_Data[[#This Row],[Review]]="",Cleaned_Data[[#This Row],[Rating]]=""),"Missing",IF(AND(Cleaned_Data[[#This Row],[Engagement]]="Strong Engagement",Cleaned_Data[[#This Row],[Rating Category]]="Average"),"Flag","OK"))</f>
        <v>OK</v>
      </c>
      <c r="O63" s="15" t="str">
        <f>IF(OR(Cleaned_Data[[#This Row],[Review]]="",Cleaned_Data[[#This Row],[Rating]]=""),"Missing",IF(AND(Cleaned_Data[[#This Row],[Engagement]]="Strong Engagement",Cleaned_Data[[#This Row],[Rating Category]]="Excellent"),"Flag","OK"))</f>
        <v>OK</v>
      </c>
      <c r="P63" s="15" t="str">
        <f>IF(Cleaned_Data[[#This Row],[Rating]]="","Missing Rating","Has Rating")</f>
        <v>Has Rating</v>
      </c>
      <c r="Q63" s="7">
        <f>IFERROR(
(Cleaned_Data[[#This Row],[Old Price]]-Cleaned_Data[[#This Row],[Current Price]])/Cleaned_Data[[#This Row],[Old Price]],
""
)</f>
        <v>0.55000000000000004</v>
      </c>
      <c r="R63" s="7" t="str">
        <f>IF( Cleaned_Data[[#This Row],[Discount]] -
 Cleaned_Data[[#This Row],[Calculated Discount]]&gt;2%,
"Check",
"OK"
)</f>
        <v>OK</v>
      </c>
      <c r="S63" t="str">
        <f>IF(OR(Cleaned_Data[[#This Row],[Rating]]&lt;0,Cleaned_Data[[#This Row],[Rating]]&gt;5),"Check rating","OK")</f>
        <v>OK</v>
      </c>
      <c r="T63" t="str">
        <f>IF(OR(Cleaned_Data[[#This Row],[Discount]]&lt;0,Cleaned_Data[[#This Row],[Discount]]&gt;1),"Check discount","OK")</f>
        <v>OK</v>
      </c>
      <c r="U63" t="str">
        <f>IF(Cleaned_Data[[#This Row],[Current Price]]&gt;Cleaned_Data[[#This Row],[Old Price]],"Check prices","OK")</f>
        <v>OK</v>
      </c>
    </row>
    <row r="64" spans="1:21">
      <c r="A64" t="s">
        <v>195</v>
      </c>
      <c r="B64" s="8">
        <v>445</v>
      </c>
      <c r="C64" s="8">
        <v>873</v>
      </c>
      <c r="D64" s="7">
        <v>0.49</v>
      </c>
      <c r="E64">
        <v>69</v>
      </c>
      <c r="F64">
        <v>2.8</v>
      </c>
      <c r="G64">
        <f>Cleaned_Data[[#This Row],[Old Price]]-Cleaned_Data[[#This Row],[Current Price]]</f>
        <v>428</v>
      </c>
      <c r="H64" s="15" t="str">
        <f>IF(Cleaned_Data[[#This Row],[Rating]]="","Missing",IF(Cleaned_Data[[#This Row],[Rating]]&lt;3,"Poor",IF(Cleaned_Data[[#This Row],[Rating]]&lt;=4.5,"Average","Excellent")))</f>
        <v>Poor</v>
      </c>
      <c r="I64" s="15" t="str">
        <f>IF(
Cleaned_Data[[#This Row],[Discount]]="",
"Missing",
IF(
Cleaned_Data[[#This Row],[Discount]]&lt;20%,
"Low Discount",
IF(
Cleaned_Data[[#This Row],[Discount]]&lt;=40%,
"Medium Discount",
"High Discount"
)
)
)</f>
        <v>High Discount</v>
      </c>
      <c r="J64" s="15" t="str">
        <f>IF(
Cleaned_Data[[#This Row],[Current Price]]="",
"Missing",
IF(
Cleaned_Data[[#This Row],[Current Price]]&lt;=Analysis!$B$3,
"Low Price",
IF(
Cleaned_Data[[#This Row],[Current Price]]&lt;=Analysis!$B$4,
"Medium Price",
"High Price"
)
)
)</f>
        <v>Low Price</v>
      </c>
      <c r="K64" s="15" t="str">
        <f>IF(Cleaned_Data[[#This Row],[Review]]="","Missing",IF(Cleaned_Data[[#This Row],[Review]]&gt;=Engagement_Threshold,"Strong Engagement","Weak Engagement"))</f>
        <v>Strong Engagement</v>
      </c>
      <c r="L64" s="15" t="str">
        <f>IF(OR(Cleaned_Data[[#This Row],[Discount]]="",Cleaned_Data[[#This Row],[Rating]]=""),"Missing",IF(AND(Cleaned_Data[[#This Row],[Discount Category]]="High Discount",Cleaned_Data[[#This Row],[Rating Category]]="Poor"),"Flag","OK"))</f>
        <v>Flag</v>
      </c>
      <c r="M64" s="15" t="str">
        <f>IF(OR(Cleaned_Data[[#This Row],[Discount]]="",Cleaned_Data[[#This Row],[Review]]=""),"Missing",IF(AND(Cleaned_Data[[#This Row],[Discount Category]]="High Discount",Cleaned_Data[[#This Row],[Engagement]]="Weak Engagement"),"Flag","OK"))</f>
        <v>OK</v>
      </c>
      <c r="N64" s="15" t="str">
        <f>IF(OR(Cleaned_Data[[#This Row],[Review]]="",Cleaned_Data[[#This Row],[Rating]]=""),"Missing",IF(AND(Cleaned_Data[[#This Row],[Engagement]]="Strong Engagement",Cleaned_Data[[#This Row],[Rating Category]]="Average"),"Flag","OK"))</f>
        <v>OK</v>
      </c>
      <c r="O64" s="15" t="str">
        <f>IF(OR(Cleaned_Data[[#This Row],[Review]]="",Cleaned_Data[[#This Row],[Rating]]=""),"Missing",IF(AND(Cleaned_Data[[#This Row],[Engagement]]="Strong Engagement",Cleaned_Data[[#This Row],[Rating Category]]="Excellent"),"Flag","OK"))</f>
        <v>OK</v>
      </c>
      <c r="P64" s="15" t="str">
        <f>IF(Cleaned_Data[[#This Row],[Rating]]="","Missing Rating","Has Rating")</f>
        <v>Has Rating</v>
      </c>
      <c r="Q64" s="7">
        <f>IFERROR(
(Cleaned_Data[[#This Row],[Old Price]]-Cleaned_Data[[#This Row],[Current Price]])/Cleaned_Data[[#This Row],[Old Price]],
""
)</f>
        <v>0.49026345933562426</v>
      </c>
      <c r="R64" s="7" t="str">
        <f>IF( Cleaned_Data[[#This Row],[Discount]] -
 Cleaned_Data[[#This Row],[Calculated Discount]]&gt;2%,
"Check",
"OK"
)</f>
        <v>OK</v>
      </c>
      <c r="S64" t="str">
        <f>IF(OR(Cleaned_Data[[#This Row],[Rating]]&lt;0,Cleaned_Data[[#This Row],[Rating]]&gt;5),"Check rating","OK")</f>
        <v>OK</v>
      </c>
      <c r="T64" t="str">
        <f>IF(OR(Cleaned_Data[[#This Row],[Discount]]&lt;0,Cleaned_Data[[#This Row],[Discount]]&gt;1),"Check discount","OK")</f>
        <v>OK</v>
      </c>
      <c r="U64" t="str">
        <f>IF(Cleaned_Data[[#This Row],[Current Price]]&gt;Cleaned_Data[[#This Row],[Old Price]],"Check prices","OK")</f>
        <v>OK</v>
      </c>
    </row>
    <row r="65" spans="1:21">
      <c r="A65" t="s">
        <v>199</v>
      </c>
      <c r="B65" s="8">
        <v>325</v>
      </c>
      <c r="C65" s="8">
        <v>680</v>
      </c>
      <c r="D65" s="7">
        <v>0.52</v>
      </c>
      <c r="E65">
        <v>15</v>
      </c>
      <c r="F65">
        <v>2.7</v>
      </c>
      <c r="G65">
        <f>Cleaned_Data[[#This Row],[Old Price]]-Cleaned_Data[[#This Row],[Current Price]]</f>
        <v>355</v>
      </c>
      <c r="H65" s="15" t="str">
        <f>IF(Cleaned_Data[[#This Row],[Rating]]="","Missing",IF(Cleaned_Data[[#This Row],[Rating]]&lt;3,"Poor",IF(Cleaned_Data[[#This Row],[Rating]]&lt;=4.5,"Average","Excellent")))</f>
        <v>Poor</v>
      </c>
      <c r="I65" s="15" t="str">
        <f>IF(
Cleaned_Data[[#This Row],[Discount]]="",
"Missing",
IF(
Cleaned_Data[[#This Row],[Discount]]&lt;20%,
"Low Discount",
IF(
Cleaned_Data[[#This Row],[Discount]]&lt;=40%,
"Medium Discount",
"High Discount"
)
)
)</f>
        <v>High Discount</v>
      </c>
      <c r="J65" s="15" t="str">
        <f>IF(
Cleaned_Data[[#This Row],[Current Price]]="",
"Missing",
IF(
Cleaned_Data[[#This Row],[Current Price]]&lt;=Analysis!$B$3,
"Low Price",
IF(
Cleaned_Data[[#This Row],[Current Price]]&lt;=Analysis!$B$4,
"Medium Price",
"High Price"
)
)
)</f>
        <v>Low Price</v>
      </c>
      <c r="K65" s="15" t="str">
        <f>IF(Cleaned_Data[[#This Row],[Review]]="","Missing",IF(Cleaned_Data[[#This Row],[Review]]&gt;=Engagement_Threshold,"Strong Engagement","Weak Engagement"))</f>
        <v>Strong Engagement</v>
      </c>
      <c r="L65" s="15" t="str">
        <f>IF(OR(Cleaned_Data[[#This Row],[Discount]]="",Cleaned_Data[[#This Row],[Rating]]=""),"Missing",IF(AND(Cleaned_Data[[#This Row],[Discount Category]]="High Discount",Cleaned_Data[[#This Row],[Rating Category]]="Poor"),"Flag","OK"))</f>
        <v>Flag</v>
      </c>
      <c r="M65" s="15" t="str">
        <f>IF(OR(Cleaned_Data[[#This Row],[Discount]]="",Cleaned_Data[[#This Row],[Review]]=""),"Missing",IF(AND(Cleaned_Data[[#This Row],[Discount Category]]="High Discount",Cleaned_Data[[#This Row],[Engagement]]="Weak Engagement"),"Flag","OK"))</f>
        <v>OK</v>
      </c>
      <c r="N65" s="15" t="str">
        <f>IF(OR(Cleaned_Data[[#This Row],[Review]]="",Cleaned_Data[[#This Row],[Rating]]=""),"Missing",IF(AND(Cleaned_Data[[#This Row],[Engagement]]="Strong Engagement",Cleaned_Data[[#This Row],[Rating Category]]="Average"),"Flag","OK"))</f>
        <v>OK</v>
      </c>
      <c r="O65" s="15" t="str">
        <f>IF(OR(Cleaned_Data[[#This Row],[Review]]="",Cleaned_Data[[#This Row],[Rating]]=""),"Missing",IF(AND(Cleaned_Data[[#This Row],[Engagement]]="Strong Engagement",Cleaned_Data[[#This Row],[Rating Category]]="Excellent"),"Flag","OK"))</f>
        <v>OK</v>
      </c>
      <c r="P65" s="15" t="str">
        <f>IF(Cleaned_Data[[#This Row],[Rating]]="","Missing Rating","Has Rating")</f>
        <v>Has Rating</v>
      </c>
      <c r="Q65" s="7">
        <f>IFERROR(
(Cleaned_Data[[#This Row],[Old Price]]-Cleaned_Data[[#This Row],[Current Price]])/Cleaned_Data[[#This Row],[Old Price]],
""
)</f>
        <v>0.5220588235294118</v>
      </c>
      <c r="R65" s="7" t="str">
        <f>IF( Cleaned_Data[[#This Row],[Discount]] -
 Cleaned_Data[[#This Row],[Calculated Discount]]&gt;2%,
"Check",
"OK"
)</f>
        <v>OK</v>
      </c>
      <c r="S65" t="str">
        <f>IF(OR(Cleaned_Data[[#This Row],[Rating]]&lt;0,Cleaned_Data[[#This Row],[Rating]]&gt;5),"Check rating","OK")</f>
        <v>OK</v>
      </c>
      <c r="T65" t="str">
        <f>IF(OR(Cleaned_Data[[#This Row],[Discount]]&lt;0,Cleaned_Data[[#This Row],[Discount]]&gt;1),"Check discount","OK")</f>
        <v>OK</v>
      </c>
      <c r="U65" t="str">
        <f>IF(Cleaned_Data[[#This Row],[Current Price]]&gt;Cleaned_Data[[#This Row],[Old Price]],"Check prices","OK")</f>
        <v>OK</v>
      </c>
    </row>
    <row r="66" spans="1:21">
      <c r="A66" t="s">
        <v>203</v>
      </c>
      <c r="B66" s="8">
        <v>1220</v>
      </c>
      <c r="C66" s="8">
        <v>1555</v>
      </c>
      <c r="D66" s="7">
        <v>0.22</v>
      </c>
      <c r="E66">
        <v>16</v>
      </c>
      <c r="F66">
        <v>2.9</v>
      </c>
      <c r="G66">
        <f>Cleaned_Data[[#This Row],[Old Price]]-Cleaned_Data[[#This Row],[Current Price]]</f>
        <v>335</v>
      </c>
      <c r="H66" s="15" t="str">
        <f>IF(Cleaned_Data[[#This Row],[Rating]]="","Missing",IF(Cleaned_Data[[#This Row],[Rating]]&lt;3,"Poor",IF(Cleaned_Data[[#This Row],[Rating]]&lt;=4.5,"Average","Excellent")))</f>
        <v>Poor</v>
      </c>
      <c r="I66" s="15" t="str">
        <f>IF(
Cleaned_Data[[#This Row],[Discount]]="",
"Missing",
IF(
Cleaned_Data[[#This Row],[Discount]]&lt;20%,
"Low Discount",
IF(
Cleaned_Data[[#This Row],[Discount]]&lt;=40%,
"Medium Discount",
"High Discount"
)
)
)</f>
        <v>Medium Discount</v>
      </c>
      <c r="J66" s="15" t="str">
        <f>IF(
Cleaned_Data[[#This Row],[Current Price]]="",
"Missing",
IF(
Cleaned_Data[[#This Row],[Current Price]]&lt;=Analysis!$B$3,
"Low Price",
IF(
Cleaned_Data[[#This Row],[Current Price]]&lt;=Analysis!$B$4,
"Medium Price",
"High Price"
)
)
)</f>
        <v>Medium Price</v>
      </c>
      <c r="K66" s="15" t="str">
        <f>IF(Cleaned_Data[[#This Row],[Review]]="","Missing",IF(Cleaned_Data[[#This Row],[Review]]&gt;=Engagement_Threshold,"Strong Engagement","Weak Engagement"))</f>
        <v>Strong Engagement</v>
      </c>
      <c r="L66" s="15" t="str">
        <f>IF(OR(Cleaned_Data[[#This Row],[Discount]]="",Cleaned_Data[[#This Row],[Rating]]=""),"Missing",IF(AND(Cleaned_Data[[#This Row],[Discount Category]]="High Discount",Cleaned_Data[[#This Row],[Rating Category]]="Poor"),"Flag","OK"))</f>
        <v>OK</v>
      </c>
      <c r="M66" s="15" t="str">
        <f>IF(OR(Cleaned_Data[[#This Row],[Discount]]="",Cleaned_Data[[#This Row],[Review]]=""),"Missing",IF(AND(Cleaned_Data[[#This Row],[Discount Category]]="High Discount",Cleaned_Data[[#This Row],[Engagement]]="Weak Engagement"),"Flag","OK"))</f>
        <v>OK</v>
      </c>
      <c r="N66" s="15" t="str">
        <f>IF(OR(Cleaned_Data[[#This Row],[Review]]="",Cleaned_Data[[#This Row],[Rating]]=""),"Missing",IF(AND(Cleaned_Data[[#This Row],[Engagement]]="Strong Engagement",Cleaned_Data[[#This Row],[Rating Category]]="Average"),"Flag","OK"))</f>
        <v>OK</v>
      </c>
      <c r="O66" s="15" t="str">
        <f>IF(OR(Cleaned_Data[[#This Row],[Review]]="",Cleaned_Data[[#This Row],[Rating]]=""),"Missing",IF(AND(Cleaned_Data[[#This Row],[Engagement]]="Strong Engagement",Cleaned_Data[[#This Row],[Rating Category]]="Excellent"),"Flag","OK"))</f>
        <v>OK</v>
      </c>
      <c r="P66" s="15" t="str">
        <f>IF(Cleaned_Data[[#This Row],[Rating]]="","Missing Rating","Has Rating")</f>
        <v>Has Rating</v>
      </c>
      <c r="Q66" s="7">
        <f>IFERROR(
(Cleaned_Data[[#This Row],[Old Price]]-Cleaned_Data[[#This Row],[Current Price]])/Cleaned_Data[[#This Row],[Old Price]],
""
)</f>
        <v>0.21543408360128619</v>
      </c>
      <c r="R66" s="7" t="str">
        <f>IF( Cleaned_Data[[#This Row],[Discount]] -
 Cleaned_Data[[#This Row],[Calculated Discount]]&gt;2%,
"Check",
"OK"
)</f>
        <v>OK</v>
      </c>
      <c r="S66" t="str">
        <f>IF(OR(Cleaned_Data[[#This Row],[Rating]]&lt;0,Cleaned_Data[[#This Row],[Rating]]&gt;5),"Check rating","OK")</f>
        <v>OK</v>
      </c>
      <c r="T66" t="str">
        <f>IF(OR(Cleaned_Data[[#This Row],[Discount]]&lt;0,Cleaned_Data[[#This Row],[Discount]]&gt;1),"Check discount","OK")</f>
        <v>OK</v>
      </c>
      <c r="U66" t="str">
        <f>IF(Cleaned_Data[[#This Row],[Current Price]]&gt;Cleaned_Data[[#This Row],[Old Price]],"Check prices","OK")</f>
        <v>OK</v>
      </c>
    </row>
    <row r="67" spans="1:21">
      <c r="A67" t="s">
        <v>207</v>
      </c>
      <c r="B67" s="8">
        <v>990</v>
      </c>
      <c r="C67" s="8">
        <v>1814</v>
      </c>
      <c r="D67" s="7">
        <v>0.45</v>
      </c>
      <c r="E67">
        <v>6</v>
      </c>
      <c r="F67">
        <v>2.2000000000000002</v>
      </c>
      <c r="G67">
        <f>Cleaned_Data[[#This Row],[Old Price]]-Cleaned_Data[[#This Row],[Current Price]]</f>
        <v>824</v>
      </c>
      <c r="H67" s="15" t="str">
        <f>IF(Cleaned_Data[[#This Row],[Rating]]="","Missing",IF(Cleaned_Data[[#This Row],[Rating]]&lt;3,"Poor",IF(Cleaned_Data[[#This Row],[Rating]]&lt;=4.5,"Average","Excellent")))</f>
        <v>Poor</v>
      </c>
      <c r="I67" s="15" t="str">
        <f>IF(
Cleaned_Data[[#This Row],[Discount]]="",
"Missing",
IF(
Cleaned_Data[[#This Row],[Discount]]&lt;20%,
"Low Discount",
IF(
Cleaned_Data[[#This Row],[Discount]]&lt;=40%,
"Medium Discount",
"High Discount"
)
)
)</f>
        <v>High Discount</v>
      </c>
      <c r="J67" s="15" t="str">
        <f>IF(
Cleaned_Data[[#This Row],[Current Price]]="",
"Missing",
IF(
Cleaned_Data[[#This Row],[Current Price]]&lt;=Analysis!$B$3,
"Low Price",
IF(
Cleaned_Data[[#This Row],[Current Price]]&lt;=Analysis!$B$4,
"Medium Price",
"High Price"
)
)
)</f>
        <v>Medium Price</v>
      </c>
      <c r="K67" s="15" t="str">
        <f>IF(Cleaned_Data[[#This Row],[Review]]="","Missing",IF(Cleaned_Data[[#This Row],[Review]]&gt;=Engagement_Threshold,"Strong Engagement","Weak Engagement"))</f>
        <v>Weak Engagement</v>
      </c>
      <c r="L67" s="15" t="str">
        <f>IF(OR(Cleaned_Data[[#This Row],[Discount]]="",Cleaned_Data[[#This Row],[Rating]]=""),"Missing",IF(AND(Cleaned_Data[[#This Row],[Discount Category]]="High Discount",Cleaned_Data[[#This Row],[Rating Category]]="Poor"),"Flag","OK"))</f>
        <v>Flag</v>
      </c>
      <c r="M67" s="15" t="str">
        <f>IF(OR(Cleaned_Data[[#This Row],[Discount]]="",Cleaned_Data[[#This Row],[Review]]=""),"Missing",IF(AND(Cleaned_Data[[#This Row],[Discount Category]]="High Discount",Cleaned_Data[[#This Row],[Engagement]]="Weak Engagement"),"Flag","OK"))</f>
        <v>Flag</v>
      </c>
      <c r="N67" s="15" t="str">
        <f>IF(OR(Cleaned_Data[[#This Row],[Review]]="",Cleaned_Data[[#This Row],[Rating]]=""),"Missing",IF(AND(Cleaned_Data[[#This Row],[Engagement]]="Strong Engagement",Cleaned_Data[[#This Row],[Rating Category]]="Average"),"Flag","OK"))</f>
        <v>OK</v>
      </c>
      <c r="O67" s="15" t="str">
        <f>IF(OR(Cleaned_Data[[#This Row],[Review]]="",Cleaned_Data[[#This Row],[Rating]]=""),"Missing",IF(AND(Cleaned_Data[[#This Row],[Engagement]]="Strong Engagement",Cleaned_Data[[#This Row],[Rating Category]]="Excellent"),"Flag","OK"))</f>
        <v>OK</v>
      </c>
      <c r="P67" s="15" t="str">
        <f>IF(Cleaned_Data[[#This Row],[Rating]]="","Missing Rating","Has Rating")</f>
        <v>Has Rating</v>
      </c>
      <c r="Q67" s="7">
        <f>IFERROR(
(Cleaned_Data[[#This Row],[Old Price]]-Cleaned_Data[[#This Row],[Current Price]])/Cleaned_Data[[#This Row],[Old Price]],
""
)</f>
        <v>0.45424476295479604</v>
      </c>
      <c r="R67" s="7" t="str">
        <f>IF( Cleaned_Data[[#This Row],[Discount]] -
 Cleaned_Data[[#This Row],[Calculated Discount]]&gt;2%,
"Check",
"OK"
)</f>
        <v>OK</v>
      </c>
      <c r="S67" t="str">
        <f>IF(OR(Cleaned_Data[[#This Row],[Rating]]&lt;0,Cleaned_Data[[#This Row],[Rating]]&gt;5),"Check rating","OK")</f>
        <v>OK</v>
      </c>
      <c r="T67" t="str">
        <f>IF(OR(Cleaned_Data[[#This Row],[Discount]]&lt;0,Cleaned_Data[[#This Row],[Discount]]&gt;1),"Check discount","OK")</f>
        <v>OK</v>
      </c>
      <c r="U67" t="str">
        <f>IF(Cleaned_Data[[#This Row],[Current Price]]&gt;Cleaned_Data[[#This Row],[Old Price]],"Check prices","OK")</f>
        <v>OK</v>
      </c>
    </row>
    <row r="68" spans="1:21">
      <c r="A68" t="s">
        <v>210</v>
      </c>
      <c r="B68" s="8">
        <v>1000</v>
      </c>
      <c r="C68" s="8">
        <v>2000</v>
      </c>
      <c r="D68" s="7">
        <v>0.5</v>
      </c>
      <c r="E68">
        <v>7</v>
      </c>
      <c r="F68">
        <v>2.2999999999999998</v>
      </c>
      <c r="G68">
        <f>Cleaned_Data[[#This Row],[Old Price]]-Cleaned_Data[[#This Row],[Current Price]]</f>
        <v>1000</v>
      </c>
      <c r="H68" s="15" t="str">
        <f>IF(Cleaned_Data[[#This Row],[Rating]]="","Missing",IF(Cleaned_Data[[#This Row],[Rating]]&lt;3,"Poor",IF(Cleaned_Data[[#This Row],[Rating]]&lt;=4.5,"Average","Excellent")))</f>
        <v>Poor</v>
      </c>
      <c r="I68" s="15" t="str">
        <f>IF(
Cleaned_Data[[#This Row],[Discount]]="",
"Missing",
IF(
Cleaned_Data[[#This Row],[Discount]]&lt;20%,
"Low Discount",
IF(
Cleaned_Data[[#This Row],[Discount]]&lt;=40%,
"Medium Discount",
"High Discount"
)
)
)</f>
        <v>High Discount</v>
      </c>
      <c r="J68" s="15" t="str">
        <f>IF(
Cleaned_Data[[#This Row],[Current Price]]="",
"Missing",
IF(
Cleaned_Data[[#This Row],[Current Price]]&lt;=Analysis!$B$3,
"Low Price",
IF(
Cleaned_Data[[#This Row],[Current Price]]&lt;=Analysis!$B$4,
"Medium Price",
"High Price"
)
)
)</f>
        <v>Medium Price</v>
      </c>
      <c r="K68" s="15" t="str">
        <f>IF(Cleaned_Data[[#This Row],[Review]]="","Missing",IF(Cleaned_Data[[#This Row],[Review]]&gt;=Engagement_Threshold,"Strong Engagement","Weak Engagement"))</f>
        <v>Weak Engagement</v>
      </c>
      <c r="L68" s="15" t="str">
        <f>IF(OR(Cleaned_Data[[#This Row],[Discount]]="",Cleaned_Data[[#This Row],[Rating]]=""),"Missing",IF(AND(Cleaned_Data[[#This Row],[Discount Category]]="High Discount",Cleaned_Data[[#This Row],[Rating Category]]="Poor"),"Flag","OK"))</f>
        <v>Flag</v>
      </c>
      <c r="M68" s="15" t="str">
        <f>IF(OR(Cleaned_Data[[#This Row],[Discount]]="",Cleaned_Data[[#This Row],[Review]]=""),"Missing",IF(AND(Cleaned_Data[[#This Row],[Discount Category]]="High Discount",Cleaned_Data[[#This Row],[Engagement]]="Weak Engagement"),"Flag","OK"))</f>
        <v>Flag</v>
      </c>
      <c r="N68" s="15" t="str">
        <f>IF(OR(Cleaned_Data[[#This Row],[Review]]="",Cleaned_Data[[#This Row],[Rating]]=""),"Missing",IF(AND(Cleaned_Data[[#This Row],[Engagement]]="Strong Engagement",Cleaned_Data[[#This Row],[Rating Category]]="Average"),"Flag","OK"))</f>
        <v>OK</v>
      </c>
      <c r="O68" s="15" t="str">
        <f>IF(OR(Cleaned_Data[[#This Row],[Review]]="",Cleaned_Data[[#This Row],[Rating]]=""),"Missing",IF(AND(Cleaned_Data[[#This Row],[Engagement]]="Strong Engagement",Cleaned_Data[[#This Row],[Rating Category]]="Excellent"),"Flag","OK"))</f>
        <v>OK</v>
      </c>
      <c r="P68" s="15" t="str">
        <f>IF(Cleaned_Data[[#This Row],[Rating]]="","Missing Rating","Has Rating")</f>
        <v>Has Rating</v>
      </c>
      <c r="Q68" s="7">
        <f>IFERROR(
(Cleaned_Data[[#This Row],[Old Price]]-Cleaned_Data[[#This Row],[Current Price]])/Cleaned_Data[[#This Row],[Old Price]],
""
)</f>
        <v>0.5</v>
      </c>
      <c r="R68" s="7" t="str">
        <f>IF( Cleaned_Data[[#This Row],[Discount]] -
 Cleaned_Data[[#This Row],[Calculated Discount]]&gt;2%,
"Check",
"OK"
)</f>
        <v>OK</v>
      </c>
      <c r="S68" t="str">
        <f>IF(OR(Cleaned_Data[[#This Row],[Rating]]&lt;0,Cleaned_Data[[#This Row],[Rating]]&gt;5),"Check rating","OK")</f>
        <v>OK</v>
      </c>
      <c r="T68" t="str">
        <f>IF(OR(Cleaned_Data[[#This Row],[Discount]]&lt;0,Cleaned_Data[[#This Row],[Discount]]&gt;1),"Check discount","OK")</f>
        <v>OK</v>
      </c>
      <c r="U68" t="str">
        <f>IF(Cleaned_Data[[#This Row],[Current Price]]&gt;Cleaned_Data[[#This Row],[Old Price]],"Check prices","OK")</f>
        <v>OK</v>
      </c>
    </row>
    <row r="69" spans="1:21">
      <c r="A69" t="s">
        <v>213</v>
      </c>
      <c r="B69" s="8">
        <v>3750</v>
      </c>
      <c r="C69" s="8">
        <v>6143</v>
      </c>
      <c r="D69" s="7">
        <v>0.39</v>
      </c>
      <c r="E69">
        <v>5</v>
      </c>
      <c r="F69">
        <v>3</v>
      </c>
      <c r="G69">
        <f>Cleaned_Data[[#This Row],[Old Price]]-Cleaned_Data[[#This Row],[Current Price]]</f>
        <v>2393</v>
      </c>
      <c r="H69" s="15" t="str">
        <f>IF(Cleaned_Data[[#This Row],[Rating]]="","Missing",IF(Cleaned_Data[[#This Row],[Rating]]&lt;3,"Poor",IF(Cleaned_Data[[#This Row],[Rating]]&lt;=4.5,"Average","Excellent")))</f>
        <v>Average</v>
      </c>
      <c r="I69" s="15" t="str">
        <f>IF(
Cleaned_Data[[#This Row],[Discount]]="",
"Missing",
IF(
Cleaned_Data[[#This Row],[Discount]]&lt;20%,
"Low Discount",
IF(
Cleaned_Data[[#This Row],[Discount]]&lt;=40%,
"Medium Discount",
"High Discount"
)
)
)</f>
        <v>Medium Discount</v>
      </c>
      <c r="J69" s="15" t="str">
        <f>IF(
Cleaned_Data[[#This Row],[Current Price]]="",
"Missing",
IF(
Cleaned_Data[[#This Row],[Current Price]]&lt;=Analysis!$B$3,
"Low Price",
IF(
Cleaned_Data[[#This Row],[Current Price]]&lt;=Analysis!$B$4,
"Medium Price",
"High Price"
)
)
)</f>
        <v>High Price</v>
      </c>
      <c r="K69" s="15" t="str">
        <f>IF(Cleaned_Data[[#This Row],[Review]]="","Missing",IF(Cleaned_Data[[#This Row],[Review]]&gt;=Engagement_Threshold,"Strong Engagement","Weak Engagement"))</f>
        <v>Weak Engagement</v>
      </c>
      <c r="L69" s="15" t="str">
        <f>IF(OR(Cleaned_Data[[#This Row],[Discount]]="",Cleaned_Data[[#This Row],[Rating]]=""),"Missing",IF(AND(Cleaned_Data[[#This Row],[Discount Category]]="High Discount",Cleaned_Data[[#This Row],[Rating Category]]="Poor"),"Flag","OK"))</f>
        <v>OK</v>
      </c>
      <c r="M69" s="15" t="str">
        <f>IF(OR(Cleaned_Data[[#This Row],[Discount]]="",Cleaned_Data[[#This Row],[Review]]=""),"Missing",IF(AND(Cleaned_Data[[#This Row],[Discount Category]]="High Discount",Cleaned_Data[[#This Row],[Engagement]]="Weak Engagement"),"Flag","OK"))</f>
        <v>OK</v>
      </c>
      <c r="N69" s="15" t="str">
        <f>IF(OR(Cleaned_Data[[#This Row],[Review]]="",Cleaned_Data[[#This Row],[Rating]]=""),"Missing",IF(AND(Cleaned_Data[[#This Row],[Engagement]]="Strong Engagement",Cleaned_Data[[#This Row],[Rating Category]]="Average"),"Flag","OK"))</f>
        <v>OK</v>
      </c>
      <c r="O69" s="15" t="str">
        <f>IF(OR(Cleaned_Data[[#This Row],[Review]]="",Cleaned_Data[[#This Row],[Rating]]=""),"Missing",IF(AND(Cleaned_Data[[#This Row],[Engagement]]="Strong Engagement",Cleaned_Data[[#This Row],[Rating Category]]="Excellent"),"Flag","OK"))</f>
        <v>OK</v>
      </c>
      <c r="P69" s="15" t="str">
        <f>IF(Cleaned_Data[[#This Row],[Rating]]="","Missing Rating","Has Rating")</f>
        <v>Has Rating</v>
      </c>
      <c r="Q69" s="7">
        <f>IFERROR(
(Cleaned_Data[[#This Row],[Old Price]]-Cleaned_Data[[#This Row],[Current Price]])/Cleaned_Data[[#This Row],[Old Price]],
""
)</f>
        <v>0.38954908025394758</v>
      </c>
      <c r="R69" s="7" t="str">
        <f>IF( Cleaned_Data[[#This Row],[Discount]] -
 Cleaned_Data[[#This Row],[Calculated Discount]]&gt;2%,
"Check",
"OK"
)</f>
        <v>OK</v>
      </c>
      <c r="S69" t="str">
        <f>IF(OR(Cleaned_Data[[#This Row],[Rating]]&lt;0,Cleaned_Data[[#This Row],[Rating]]&gt;5),"Check rating","OK")</f>
        <v>OK</v>
      </c>
      <c r="T69" t="str">
        <f>IF(OR(Cleaned_Data[[#This Row],[Discount]]&lt;0,Cleaned_Data[[#This Row],[Discount]]&gt;1),"Check discount","OK")</f>
        <v>OK</v>
      </c>
      <c r="U69" t="str">
        <f>IF(Cleaned_Data[[#This Row],[Current Price]]&gt;Cleaned_Data[[#This Row],[Old Price]],"Check prices","OK")</f>
        <v>OK</v>
      </c>
    </row>
    <row r="70" spans="1:21">
      <c r="A70" t="s">
        <v>216</v>
      </c>
      <c r="B70" s="8">
        <v>382</v>
      </c>
      <c r="C70" s="8">
        <v>700</v>
      </c>
      <c r="D70" s="7">
        <v>0.45</v>
      </c>
      <c r="E70">
        <v>17</v>
      </c>
      <c r="F70">
        <v>2.6</v>
      </c>
      <c r="G70">
        <f>Cleaned_Data[[#This Row],[Old Price]]-Cleaned_Data[[#This Row],[Current Price]]</f>
        <v>318</v>
      </c>
      <c r="H70" s="15" t="str">
        <f>IF(Cleaned_Data[[#This Row],[Rating]]="","Missing",IF(Cleaned_Data[[#This Row],[Rating]]&lt;3,"Poor",IF(Cleaned_Data[[#This Row],[Rating]]&lt;=4.5,"Average","Excellent")))</f>
        <v>Poor</v>
      </c>
      <c r="I70" s="15" t="str">
        <f>IF(
Cleaned_Data[[#This Row],[Discount]]="",
"Missing",
IF(
Cleaned_Data[[#This Row],[Discount]]&lt;20%,
"Low Discount",
IF(
Cleaned_Data[[#This Row],[Discount]]&lt;=40%,
"Medium Discount",
"High Discount"
)
)
)</f>
        <v>High Discount</v>
      </c>
      <c r="J70" s="15" t="str">
        <f>IF(
Cleaned_Data[[#This Row],[Current Price]]="",
"Missing",
IF(
Cleaned_Data[[#This Row],[Current Price]]&lt;=Analysis!$B$3,
"Low Price",
IF(
Cleaned_Data[[#This Row],[Current Price]]&lt;=Analysis!$B$4,
"Medium Price",
"High Price"
)
)
)</f>
        <v>Low Price</v>
      </c>
      <c r="K70" s="15" t="str">
        <f>IF(Cleaned_Data[[#This Row],[Review]]="","Missing",IF(Cleaned_Data[[#This Row],[Review]]&gt;=Engagement_Threshold,"Strong Engagement","Weak Engagement"))</f>
        <v>Strong Engagement</v>
      </c>
      <c r="L70" s="15" t="str">
        <f>IF(OR(Cleaned_Data[[#This Row],[Discount]]="",Cleaned_Data[[#This Row],[Rating]]=""),"Missing",IF(AND(Cleaned_Data[[#This Row],[Discount Category]]="High Discount",Cleaned_Data[[#This Row],[Rating Category]]="Poor"),"Flag","OK"))</f>
        <v>Flag</v>
      </c>
      <c r="M70" s="15" t="str">
        <f>IF(OR(Cleaned_Data[[#This Row],[Discount]]="",Cleaned_Data[[#This Row],[Review]]=""),"Missing",IF(AND(Cleaned_Data[[#This Row],[Discount Category]]="High Discount",Cleaned_Data[[#This Row],[Engagement]]="Weak Engagement"),"Flag","OK"))</f>
        <v>OK</v>
      </c>
      <c r="N70" s="15" t="str">
        <f>IF(OR(Cleaned_Data[[#This Row],[Review]]="",Cleaned_Data[[#This Row],[Rating]]=""),"Missing",IF(AND(Cleaned_Data[[#This Row],[Engagement]]="Strong Engagement",Cleaned_Data[[#This Row],[Rating Category]]="Average"),"Flag","OK"))</f>
        <v>OK</v>
      </c>
      <c r="O70" s="15" t="str">
        <f>IF(OR(Cleaned_Data[[#This Row],[Review]]="",Cleaned_Data[[#This Row],[Rating]]=""),"Missing",IF(AND(Cleaned_Data[[#This Row],[Engagement]]="Strong Engagement",Cleaned_Data[[#This Row],[Rating Category]]="Excellent"),"Flag","OK"))</f>
        <v>OK</v>
      </c>
      <c r="P70" s="15" t="str">
        <f>IF(Cleaned_Data[[#This Row],[Rating]]="","Missing Rating","Has Rating")</f>
        <v>Has Rating</v>
      </c>
      <c r="Q70" s="7">
        <f>IFERROR(
(Cleaned_Data[[#This Row],[Old Price]]-Cleaned_Data[[#This Row],[Current Price]])/Cleaned_Data[[#This Row],[Old Price]],
""
)</f>
        <v>0.45428571428571429</v>
      </c>
      <c r="R70" s="7" t="str">
        <f>IF( Cleaned_Data[[#This Row],[Discount]] -
 Cleaned_Data[[#This Row],[Calculated Discount]]&gt;2%,
"Check",
"OK"
)</f>
        <v>OK</v>
      </c>
      <c r="S70" t="str">
        <f>IF(OR(Cleaned_Data[[#This Row],[Rating]]&lt;0,Cleaned_Data[[#This Row],[Rating]]&gt;5),"Check rating","OK")</f>
        <v>OK</v>
      </c>
      <c r="T70" t="str">
        <f>IF(OR(Cleaned_Data[[#This Row],[Discount]]&lt;0,Cleaned_Data[[#This Row],[Discount]]&gt;1),"Check discount","OK")</f>
        <v>OK</v>
      </c>
      <c r="U70" t="str">
        <f>IF(Cleaned_Data[[#This Row],[Current Price]]&gt;Cleaned_Data[[#This Row],[Old Price]],"Check prices","OK")</f>
        <v>OK</v>
      </c>
    </row>
    <row r="71" spans="1:21">
      <c r="A71" t="s">
        <v>219</v>
      </c>
      <c r="B71" s="8">
        <v>2300</v>
      </c>
      <c r="C71" s="8">
        <v>3240</v>
      </c>
      <c r="D71" s="7">
        <v>0.28999999999999998</v>
      </c>
      <c r="E71">
        <v>5</v>
      </c>
      <c r="F71">
        <v>3</v>
      </c>
      <c r="G71">
        <f>Cleaned_Data[[#This Row],[Old Price]]-Cleaned_Data[[#This Row],[Current Price]]</f>
        <v>940</v>
      </c>
      <c r="H71" s="15" t="str">
        <f>IF(Cleaned_Data[[#This Row],[Rating]]="","Missing",IF(Cleaned_Data[[#This Row],[Rating]]&lt;3,"Poor",IF(Cleaned_Data[[#This Row],[Rating]]&lt;=4.5,"Average","Excellent")))</f>
        <v>Average</v>
      </c>
      <c r="I71" s="15" t="str">
        <f>IF(
Cleaned_Data[[#This Row],[Discount]]="",
"Missing",
IF(
Cleaned_Data[[#This Row],[Discount]]&lt;20%,
"Low Discount",
IF(
Cleaned_Data[[#This Row],[Discount]]&lt;=40%,
"Medium Discount",
"High Discount"
)
)
)</f>
        <v>Medium Discount</v>
      </c>
      <c r="J71" s="15" t="str">
        <f>IF(
Cleaned_Data[[#This Row],[Current Price]]="",
"Missing",
IF(
Cleaned_Data[[#This Row],[Current Price]]&lt;=Analysis!$B$3,
"Low Price",
IF(
Cleaned_Data[[#This Row],[Current Price]]&lt;=Analysis!$B$4,
"Medium Price",
"High Price"
)
)
)</f>
        <v>High Price</v>
      </c>
      <c r="K71" s="15" t="str">
        <f>IF(Cleaned_Data[[#This Row],[Review]]="","Missing",IF(Cleaned_Data[[#This Row],[Review]]&gt;=Engagement_Threshold,"Strong Engagement","Weak Engagement"))</f>
        <v>Weak Engagement</v>
      </c>
      <c r="L71" s="15" t="str">
        <f>IF(OR(Cleaned_Data[[#This Row],[Discount]]="",Cleaned_Data[[#This Row],[Rating]]=""),"Missing",IF(AND(Cleaned_Data[[#This Row],[Discount Category]]="High Discount",Cleaned_Data[[#This Row],[Rating Category]]="Poor"),"Flag","OK"))</f>
        <v>OK</v>
      </c>
      <c r="M71" s="15" t="str">
        <f>IF(OR(Cleaned_Data[[#This Row],[Discount]]="",Cleaned_Data[[#This Row],[Review]]=""),"Missing",IF(AND(Cleaned_Data[[#This Row],[Discount Category]]="High Discount",Cleaned_Data[[#This Row],[Engagement]]="Weak Engagement"),"Flag","OK"))</f>
        <v>OK</v>
      </c>
      <c r="N71" s="15" t="str">
        <f>IF(OR(Cleaned_Data[[#This Row],[Review]]="",Cleaned_Data[[#This Row],[Rating]]=""),"Missing",IF(AND(Cleaned_Data[[#This Row],[Engagement]]="Strong Engagement",Cleaned_Data[[#This Row],[Rating Category]]="Average"),"Flag","OK"))</f>
        <v>OK</v>
      </c>
      <c r="O71" s="15" t="str">
        <f>IF(OR(Cleaned_Data[[#This Row],[Review]]="",Cleaned_Data[[#This Row],[Rating]]=""),"Missing",IF(AND(Cleaned_Data[[#This Row],[Engagement]]="Strong Engagement",Cleaned_Data[[#This Row],[Rating Category]]="Excellent"),"Flag","OK"))</f>
        <v>OK</v>
      </c>
      <c r="P71" s="15" t="str">
        <f>IF(Cleaned_Data[[#This Row],[Rating]]="","Missing Rating","Has Rating")</f>
        <v>Has Rating</v>
      </c>
      <c r="Q71" s="7">
        <f>IFERROR(
(Cleaned_Data[[#This Row],[Old Price]]-Cleaned_Data[[#This Row],[Current Price]])/Cleaned_Data[[#This Row],[Old Price]],
""
)</f>
        <v>0.29012345679012347</v>
      </c>
      <c r="R71" s="7" t="str">
        <f>IF( Cleaned_Data[[#This Row],[Discount]] -
 Cleaned_Data[[#This Row],[Calculated Discount]]&gt;2%,
"Check",
"OK"
)</f>
        <v>OK</v>
      </c>
      <c r="S71" t="str">
        <f>IF(OR(Cleaned_Data[[#This Row],[Rating]]&lt;0,Cleaned_Data[[#This Row],[Rating]]&gt;5),"Check rating","OK")</f>
        <v>OK</v>
      </c>
      <c r="T71" t="str">
        <f>IF(OR(Cleaned_Data[[#This Row],[Discount]]&lt;0,Cleaned_Data[[#This Row],[Discount]]&gt;1),"Check discount","OK")</f>
        <v>OK</v>
      </c>
      <c r="U71" t="str">
        <f>IF(Cleaned_Data[[#This Row],[Current Price]]&gt;Cleaned_Data[[#This Row],[Old Price]],"Check prices","OK")</f>
        <v>OK</v>
      </c>
    </row>
    <row r="72" spans="1:21">
      <c r="A72" t="s">
        <v>222</v>
      </c>
      <c r="B72" s="8">
        <v>345</v>
      </c>
      <c r="C72" s="8">
        <v>602</v>
      </c>
      <c r="D72" s="7">
        <v>0.43</v>
      </c>
      <c r="E72">
        <v>6</v>
      </c>
      <c r="F72">
        <v>2.2999999999999998</v>
      </c>
      <c r="G72">
        <f>Cleaned_Data[[#This Row],[Old Price]]-Cleaned_Data[[#This Row],[Current Price]]</f>
        <v>257</v>
      </c>
      <c r="H72" s="15" t="str">
        <f>IF(Cleaned_Data[[#This Row],[Rating]]="","Missing",IF(Cleaned_Data[[#This Row],[Rating]]&lt;3,"Poor",IF(Cleaned_Data[[#This Row],[Rating]]&lt;=4.5,"Average","Excellent")))</f>
        <v>Poor</v>
      </c>
      <c r="I72" s="15" t="str">
        <f>IF(
Cleaned_Data[[#This Row],[Discount]]="",
"Missing",
IF(
Cleaned_Data[[#This Row],[Discount]]&lt;20%,
"Low Discount",
IF(
Cleaned_Data[[#This Row],[Discount]]&lt;=40%,
"Medium Discount",
"High Discount"
)
)
)</f>
        <v>High Discount</v>
      </c>
      <c r="J72" s="15" t="str">
        <f>IF(
Cleaned_Data[[#This Row],[Current Price]]="",
"Missing",
IF(
Cleaned_Data[[#This Row],[Current Price]]&lt;=Analysis!$B$3,
"Low Price",
IF(
Cleaned_Data[[#This Row],[Current Price]]&lt;=Analysis!$B$4,
"Medium Price",
"High Price"
)
)
)</f>
        <v>Low Price</v>
      </c>
      <c r="K72" s="15" t="str">
        <f>IF(Cleaned_Data[[#This Row],[Review]]="","Missing",IF(Cleaned_Data[[#This Row],[Review]]&gt;=Engagement_Threshold,"Strong Engagement","Weak Engagement"))</f>
        <v>Weak Engagement</v>
      </c>
      <c r="L72" s="15" t="str">
        <f>IF(OR(Cleaned_Data[[#This Row],[Discount]]="",Cleaned_Data[[#This Row],[Rating]]=""),"Missing",IF(AND(Cleaned_Data[[#This Row],[Discount Category]]="High Discount",Cleaned_Data[[#This Row],[Rating Category]]="Poor"),"Flag","OK"))</f>
        <v>Flag</v>
      </c>
      <c r="M72" s="15" t="str">
        <f>IF(OR(Cleaned_Data[[#This Row],[Discount]]="",Cleaned_Data[[#This Row],[Review]]=""),"Missing",IF(AND(Cleaned_Data[[#This Row],[Discount Category]]="High Discount",Cleaned_Data[[#This Row],[Engagement]]="Weak Engagement"),"Flag","OK"))</f>
        <v>Flag</v>
      </c>
      <c r="N72" s="15" t="str">
        <f>IF(OR(Cleaned_Data[[#This Row],[Review]]="",Cleaned_Data[[#This Row],[Rating]]=""),"Missing",IF(AND(Cleaned_Data[[#This Row],[Engagement]]="Strong Engagement",Cleaned_Data[[#This Row],[Rating Category]]="Average"),"Flag","OK"))</f>
        <v>OK</v>
      </c>
      <c r="O72" s="15" t="str">
        <f>IF(OR(Cleaned_Data[[#This Row],[Review]]="",Cleaned_Data[[#This Row],[Rating]]=""),"Missing",IF(AND(Cleaned_Data[[#This Row],[Engagement]]="Strong Engagement",Cleaned_Data[[#This Row],[Rating Category]]="Excellent"),"Flag","OK"))</f>
        <v>OK</v>
      </c>
      <c r="P72" s="15" t="str">
        <f>IF(Cleaned_Data[[#This Row],[Rating]]="","Missing Rating","Has Rating")</f>
        <v>Has Rating</v>
      </c>
      <c r="Q72" s="7">
        <f>IFERROR(
(Cleaned_Data[[#This Row],[Old Price]]-Cleaned_Data[[#This Row],[Current Price]])/Cleaned_Data[[#This Row],[Old Price]],
""
)</f>
        <v>0.42691029900332228</v>
      </c>
      <c r="R72" s="7" t="str">
        <f>IF( Cleaned_Data[[#This Row],[Discount]] -
 Cleaned_Data[[#This Row],[Calculated Discount]]&gt;2%,
"Check",
"OK"
)</f>
        <v>OK</v>
      </c>
      <c r="S72" t="str">
        <f>IF(OR(Cleaned_Data[[#This Row],[Rating]]&lt;0,Cleaned_Data[[#This Row],[Rating]]&gt;5),"Check rating","OK")</f>
        <v>OK</v>
      </c>
      <c r="T72" t="str">
        <f>IF(OR(Cleaned_Data[[#This Row],[Discount]]&lt;0,Cleaned_Data[[#This Row],[Discount]]&gt;1),"Check discount","OK")</f>
        <v>OK</v>
      </c>
      <c r="U72" t="str">
        <f>IF(Cleaned_Data[[#This Row],[Current Price]]&gt;Cleaned_Data[[#This Row],[Old Price]],"Check prices","OK")</f>
        <v>OK</v>
      </c>
    </row>
    <row r="73" spans="1:21">
      <c r="A73" t="s">
        <v>225</v>
      </c>
      <c r="B73" s="8">
        <v>509</v>
      </c>
      <c r="C73" s="8">
        <v>899</v>
      </c>
      <c r="D73" s="7">
        <v>0.43</v>
      </c>
      <c r="E73">
        <v>5</v>
      </c>
      <c r="F73">
        <v>3</v>
      </c>
      <c r="G73">
        <f>Cleaned_Data[[#This Row],[Old Price]]-Cleaned_Data[[#This Row],[Current Price]]</f>
        <v>390</v>
      </c>
      <c r="H73" s="15" t="str">
        <f>IF(Cleaned_Data[[#This Row],[Rating]]="","Missing",IF(Cleaned_Data[[#This Row],[Rating]]&lt;3,"Poor",IF(Cleaned_Data[[#This Row],[Rating]]&lt;=4.5,"Average","Excellent")))</f>
        <v>Average</v>
      </c>
      <c r="I73" s="15" t="str">
        <f>IF(
Cleaned_Data[[#This Row],[Discount]]="",
"Missing",
IF(
Cleaned_Data[[#This Row],[Discount]]&lt;20%,
"Low Discount",
IF(
Cleaned_Data[[#This Row],[Discount]]&lt;=40%,
"Medium Discount",
"High Discount"
)
)
)</f>
        <v>High Discount</v>
      </c>
      <c r="J73" s="15" t="str">
        <f>IF(
Cleaned_Data[[#This Row],[Current Price]]="",
"Missing",
IF(
Cleaned_Data[[#This Row],[Current Price]]&lt;=Analysis!$B$3,
"Low Price",
IF(
Cleaned_Data[[#This Row],[Current Price]]&lt;=Analysis!$B$4,
"Medium Price",
"High Price"
)
)
)</f>
        <v>Medium Price</v>
      </c>
      <c r="K73" s="15" t="str">
        <f>IF(Cleaned_Data[[#This Row],[Review]]="","Missing",IF(Cleaned_Data[[#This Row],[Review]]&gt;=Engagement_Threshold,"Strong Engagement","Weak Engagement"))</f>
        <v>Weak Engagement</v>
      </c>
      <c r="L73" s="15" t="str">
        <f>IF(OR(Cleaned_Data[[#This Row],[Discount]]="",Cleaned_Data[[#This Row],[Rating]]=""),"Missing",IF(AND(Cleaned_Data[[#This Row],[Discount Category]]="High Discount",Cleaned_Data[[#This Row],[Rating Category]]="Poor"),"Flag","OK"))</f>
        <v>OK</v>
      </c>
      <c r="M73" s="15" t="str">
        <f>IF(OR(Cleaned_Data[[#This Row],[Discount]]="",Cleaned_Data[[#This Row],[Review]]=""),"Missing",IF(AND(Cleaned_Data[[#This Row],[Discount Category]]="High Discount",Cleaned_Data[[#This Row],[Engagement]]="Weak Engagement"),"Flag","OK"))</f>
        <v>Flag</v>
      </c>
      <c r="N73" s="15" t="str">
        <f>IF(OR(Cleaned_Data[[#This Row],[Review]]="",Cleaned_Data[[#This Row],[Rating]]=""),"Missing",IF(AND(Cleaned_Data[[#This Row],[Engagement]]="Strong Engagement",Cleaned_Data[[#This Row],[Rating Category]]="Average"),"Flag","OK"))</f>
        <v>OK</v>
      </c>
      <c r="O73" s="15" t="str">
        <f>IF(OR(Cleaned_Data[[#This Row],[Review]]="",Cleaned_Data[[#This Row],[Rating]]=""),"Missing",IF(AND(Cleaned_Data[[#This Row],[Engagement]]="Strong Engagement",Cleaned_Data[[#This Row],[Rating Category]]="Excellent"),"Flag","OK"))</f>
        <v>OK</v>
      </c>
      <c r="P73" s="15" t="str">
        <f>IF(Cleaned_Data[[#This Row],[Rating]]="","Missing Rating","Has Rating")</f>
        <v>Has Rating</v>
      </c>
      <c r="Q73" s="7">
        <f>IFERROR(
(Cleaned_Data[[#This Row],[Old Price]]-Cleaned_Data[[#This Row],[Current Price]])/Cleaned_Data[[#This Row],[Old Price]],
""
)</f>
        <v>0.43381535038932145</v>
      </c>
      <c r="R73" s="7" t="str">
        <f>IF( Cleaned_Data[[#This Row],[Discount]] -
 Cleaned_Data[[#This Row],[Calculated Discount]]&gt;2%,
"Check",
"OK"
)</f>
        <v>OK</v>
      </c>
      <c r="S73" t="str">
        <f>IF(OR(Cleaned_Data[[#This Row],[Rating]]&lt;0,Cleaned_Data[[#This Row],[Rating]]&gt;5),"Check rating","OK")</f>
        <v>OK</v>
      </c>
      <c r="T73" t="str">
        <f>IF(OR(Cleaned_Data[[#This Row],[Discount]]&lt;0,Cleaned_Data[[#This Row],[Discount]]&gt;1),"Check discount","OK")</f>
        <v>OK</v>
      </c>
      <c r="U73" t="str">
        <f>IF(Cleaned_Data[[#This Row],[Current Price]]&gt;Cleaned_Data[[#This Row],[Old Price]],"Check prices","OK")</f>
        <v>OK</v>
      </c>
    </row>
    <row r="74" spans="1:21">
      <c r="A74" t="s">
        <v>228</v>
      </c>
      <c r="B74" s="8">
        <v>968</v>
      </c>
      <c r="C74" s="8">
        <v>1814</v>
      </c>
      <c r="D74" s="7">
        <v>0.47</v>
      </c>
      <c r="E74">
        <v>6</v>
      </c>
      <c r="F74">
        <v>2.2000000000000002</v>
      </c>
      <c r="G74">
        <f>Cleaned_Data[[#This Row],[Old Price]]-Cleaned_Data[[#This Row],[Current Price]]</f>
        <v>846</v>
      </c>
      <c r="H74" s="15" t="str">
        <f>IF(Cleaned_Data[[#This Row],[Rating]]="","Missing",IF(Cleaned_Data[[#This Row],[Rating]]&lt;3,"Poor",IF(Cleaned_Data[[#This Row],[Rating]]&lt;=4.5,"Average","Excellent")))</f>
        <v>Poor</v>
      </c>
      <c r="I74" s="15" t="str">
        <f>IF(
Cleaned_Data[[#This Row],[Discount]]="",
"Missing",
IF(
Cleaned_Data[[#This Row],[Discount]]&lt;20%,
"Low Discount",
IF(
Cleaned_Data[[#This Row],[Discount]]&lt;=40%,
"Medium Discount",
"High Discount"
)
)
)</f>
        <v>High Discount</v>
      </c>
      <c r="J74" s="15" t="str">
        <f>IF(
Cleaned_Data[[#This Row],[Current Price]]="",
"Missing",
IF(
Cleaned_Data[[#This Row],[Current Price]]&lt;=Analysis!$B$3,
"Low Price",
IF(
Cleaned_Data[[#This Row],[Current Price]]&lt;=Analysis!$B$4,
"Medium Price",
"High Price"
)
)
)</f>
        <v>Medium Price</v>
      </c>
      <c r="K74" s="15" t="str">
        <f>IF(Cleaned_Data[[#This Row],[Review]]="","Missing",IF(Cleaned_Data[[#This Row],[Review]]&gt;=Engagement_Threshold,"Strong Engagement","Weak Engagement"))</f>
        <v>Weak Engagement</v>
      </c>
      <c r="L74" s="15" t="str">
        <f>IF(OR(Cleaned_Data[[#This Row],[Discount]]="",Cleaned_Data[[#This Row],[Rating]]=""),"Missing",IF(AND(Cleaned_Data[[#This Row],[Discount Category]]="High Discount",Cleaned_Data[[#This Row],[Rating Category]]="Poor"),"Flag","OK"))</f>
        <v>Flag</v>
      </c>
      <c r="M74" s="15" t="str">
        <f>IF(OR(Cleaned_Data[[#This Row],[Discount]]="",Cleaned_Data[[#This Row],[Review]]=""),"Missing",IF(AND(Cleaned_Data[[#This Row],[Discount Category]]="High Discount",Cleaned_Data[[#This Row],[Engagement]]="Weak Engagement"),"Flag","OK"))</f>
        <v>Flag</v>
      </c>
      <c r="N74" s="15" t="str">
        <f>IF(OR(Cleaned_Data[[#This Row],[Review]]="",Cleaned_Data[[#This Row],[Rating]]=""),"Missing",IF(AND(Cleaned_Data[[#This Row],[Engagement]]="Strong Engagement",Cleaned_Data[[#This Row],[Rating Category]]="Average"),"Flag","OK"))</f>
        <v>OK</v>
      </c>
      <c r="O74" s="15" t="str">
        <f>IF(OR(Cleaned_Data[[#This Row],[Review]]="",Cleaned_Data[[#This Row],[Rating]]=""),"Missing",IF(AND(Cleaned_Data[[#This Row],[Engagement]]="Strong Engagement",Cleaned_Data[[#This Row],[Rating Category]]="Excellent"),"Flag","OK"))</f>
        <v>OK</v>
      </c>
      <c r="P74" s="15" t="str">
        <f>IF(Cleaned_Data[[#This Row],[Rating]]="","Missing Rating","Has Rating")</f>
        <v>Has Rating</v>
      </c>
      <c r="Q74" s="7">
        <f>IFERROR(
(Cleaned_Data[[#This Row],[Old Price]]-Cleaned_Data[[#This Row],[Current Price]])/Cleaned_Data[[#This Row],[Old Price]],
""
)</f>
        <v>0.46637265711135611</v>
      </c>
      <c r="R74" s="7" t="str">
        <f>IF( Cleaned_Data[[#This Row],[Discount]] -
 Cleaned_Data[[#This Row],[Calculated Discount]]&gt;2%,
"Check",
"OK"
)</f>
        <v>OK</v>
      </c>
      <c r="S74" t="str">
        <f>IF(OR(Cleaned_Data[[#This Row],[Rating]]&lt;0,Cleaned_Data[[#This Row],[Rating]]&gt;5),"Check rating","OK")</f>
        <v>OK</v>
      </c>
      <c r="T74" t="str">
        <f>IF(OR(Cleaned_Data[[#This Row],[Discount]]&lt;0,Cleaned_Data[[#This Row],[Discount]]&gt;1),"Check discount","OK")</f>
        <v>OK</v>
      </c>
      <c r="U74" t="str">
        <f>IF(Cleaned_Data[[#This Row],[Current Price]]&gt;Cleaned_Data[[#This Row],[Old Price]],"Check prices","OK")</f>
        <v>OK</v>
      </c>
    </row>
    <row r="75" spans="1:21">
      <c r="A75" t="s">
        <v>230</v>
      </c>
      <c r="B75" s="8">
        <v>1570</v>
      </c>
      <c r="C75" s="8">
        <v>2988</v>
      </c>
      <c r="D75" s="7">
        <v>0.47</v>
      </c>
      <c r="E75">
        <v>7</v>
      </c>
      <c r="F75">
        <v>2.1</v>
      </c>
      <c r="G75">
        <f>Cleaned_Data[[#This Row],[Old Price]]-Cleaned_Data[[#This Row],[Current Price]]</f>
        <v>1418</v>
      </c>
      <c r="H75" s="15" t="str">
        <f>IF(Cleaned_Data[[#This Row],[Rating]]="","Missing",IF(Cleaned_Data[[#This Row],[Rating]]&lt;3,"Poor",IF(Cleaned_Data[[#This Row],[Rating]]&lt;=4.5,"Average","Excellent")))</f>
        <v>Poor</v>
      </c>
      <c r="I75" s="15" t="str">
        <f>IF(
Cleaned_Data[[#This Row],[Discount]]="",
"Missing",
IF(
Cleaned_Data[[#This Row],[Discount]]&lt;20%,
"Low Discount",
IF(
Cleaned_Data[[#This Row],[Discount]]&lt;=40%,
"Medium Discount",
"High Discount"
)
)
)</f>
        <v>High Discount</v>
      </c>
      <c r="J75" s="15" t="str">
        <f>IF(
Cleaned_Data[[#This Row],[Current Price]]="",
"Missing",
IF(
Cleaned_Data[[#This Row],[Current Price]]&lt;=Analysis!$B$3,
"Low Price",
IF(
Cleaned_Data[[#This Row],[Current Price]]&lt;=Analysis!$B$4,
"Medium Price",
"High Price"
)
)
)</f>
        <v>Medium Price</v>
      </c>
      <c r="K75" s="15" t="str">
        <f>IF(Cleaned_Data[[#This Row],[Review]]="","Missing",IF(Cleaned_Data[[#This Row],[Review]]&gt;=Engagement_Threshold,"Strong Engagement","Weak Engagement"))</f>
        <v>Weak Engagement</v>
      </c>
      <c r="L75" s="15" t="str">
        <f>IF(OR(Cleaned_Data[[#This Row],[Discount]]="",Cleaned_Data[[#This Row],[Rating]]=""),"Missing",IF(AND(Cleaned_Data[[#This Row],[Discount Category]]="High Discount",Cleaned_Data[[#This Row],[Rating Category]]="Poor"),"Flag","OK"))</f>
        <v>Flag</v>
      </c>
      <c r="M75" s="15" t="str">
        <f>IF(OR(Cleaned_Data[[#This Row],[Discount]]="",Cleaned_Data[[#This Row],[Review]]=""),"Missing",IF(AND(Cleaned_Data[[#This Row],[Discount Category]]="High Discount",Cleaned_Data[[#This Row],[Engagement]]="Weak Engagement"),"Flag","OK"))</f>
        <v>Flag</v>
      </c>
      <c r="N75" s="15" t="str">
        <f>IF(OR(Cleaned_Data[[#This Row],[Review]]="",Cleaned_Data[[#This Row],[Rating]]=""),"Missing",IF(AND(Cleaned_Data[[#This Row],[Engagement]]="Strong Engagement",Cleaned_Data[[#This Row],[Rating Category]]="Average"),"Flag","OK"))</f>
        <v>OK</v>
      </c>
      <c r="O75" s="15" t="str">
        <f>IF(OR(Cleaned_Data[[#This Row],[Review]]="",Cleaned_Data[[#This Row],[Rating]]=""),"Missing",IF(AND(Cleaned_Data[[#This Row],[Engagement]]="Strong Engagement",Cleaned_Data[[#This Row],[Rating Category]]="Excellent"),"Flag","OK"))</f>
        <v>OK</v>
      </c>
      <c r="P75" s="15" t="str">
        <f>IF(Cleaned_Data[[#This Row],[Rating]]="","Missing Rating","Has Rating")</f>
        <v>Has Rating</v>
      </c>
      <c r="Q75" s="7">
        <f>IFERROR(
(Cleaned_Data[[#This Row],[Old Price]]-Cleaned_Data[[#This Row],[Current Price]])/Cleaned_Data[[#This Row],[Old Price]],
""
)</f>
        <v>0.4745649263721553</v>
      </c>
      <c r="R75" s="7" t="str">
        <f>IF( Cleaned_Data[[#This Row],[Discount]] -
 Cleaned_Data[[#This Row],[Calculated Discount]]&gt;2%,
"Check",
"OK"
)</f>
        <v>OK</v>
      </c>
      <c r="S75" t="str">
        <f>IF(OR(Cleaned_Data[[#This Row],[Rating]]&lt;0,Cleaned_Data[[#This Row],[Rating]]&gt;5),"Check rating","OK")</f>
        <v>OK</v>
      </c>
      <c r="T75" t="str">
        <f>IF(OR(Cleaned_Data[[#This Row],[Discount]]&lt;0,Cleaned_Data[[#This Row],[Discount]]&gt;1),"Check discount","OK")</f>
        <v>OK</v>
      </c>
      <c r="U75" t="str">
        <f>IF(Cleaned_Data[[#This Row],[Current Price]]&gt;Cleaned_Data[[#This Row],[Old Price]],"Check prices","OK")</f>
        <v>OK</v>
      </c>
    </row>
    <row r="76" spans="1:21">
      <c r="A76" t="s">
        <v>233</v>
      </c>
      <c r="B76" s="8">
        <v>790</v>
      </c>
      <c r="C76" s="8">
        <v>1485</v>
      </c>
      <c r="D76" s="7">
        <v>0.47</v>
      </c>
      <c r="G76">
        <f>Cleaned_Data[[#This Row],[Old Price]]-Cleaned_Data[[#This Row],[Current Price]]</f>
        <v>695</v>
      </c>
      <c r="H76" s="15" t="str">
        <f>IF(Cleaned_Data[[#This Row],[Rating]]="","Missing",IF(Cleaned_Data[[#This Row],[Rating]]&lt;3,"Poor",IF(Cleaned_Data[[#This Row],[Rating]]&lt;=4.5,"Average","Excellent")))</f>
        <v>Missing</v>
      </c>
      <c r="I76" s="15" t="str">
        <f>IF(
Cleaned_Data[[#This Row],[Discount]]="",
"Missing",
IF(
Cleaned_Data[[#This Row],[Discount]]&lt;20%,
"Low Discount",
IF(
Cleaned_Data[[#This Row],[Discount]]&lt;=40%,
"Medium Discount",
"High Discount"
)
)
)</f>
        <v>High Discount</v>
      </c>
      <c r="J76" s="15" t="str">
        <f>IF(
Cleaned_Data[[#This Row],[Current Price]]="",
"Missing",
IF(
Cleaned_Data[[#This Row],[Current Price]]&lt;=Analysis!$B$3,
"Low Price",
IF(
Cleaned_Data[[#This Row],[Current Price]]&lt;=Analysis!$B$4,
"Medium Price",
"High Price"
)
)
)</f>
        <v>Medium Price</v>
      </c>
      <c r="K76" s="15" t="str">
        <f>IF(Cleaned_Data[[#This Row],[Review]]="","Missing",IF(Cleaned_Data[[#This Row],[Review]]&gt;=Engagement_Threshold,"Strong Engagement","Weak Engagement"))</f>
        <v>Missing</v>
      </c>
      <c r="L76" s="15" t="str">
        <f>IF(OR(Cleaned_Data[[#This Row],[Discount]]="",Cleaned_Data[[#This Row],[Rating]]=""),"Missing",IF(AND(Cleaned_Data[[#This Row],[Discount Category]]="High Discount",Cleaned_Data[[#This Row],[Rating Category]]="Poor"),"Flag","OK"))</f>
        <v>Missing</v>
      </c>
      <c r="M76" s="15" t="str">
        <f>IF(OR(Cleaned_Data[[#This Row],[Discount]]="",Cleaned_Data[[#This Row],[Review]]=""),"Missing",IF(AND(Cleaned_Data[[#This Row],[Discount Category]]="High Discount",Cleaned_Data[[#This Row],[Engagement]]="Weak Engagement"),"Flag","OK"))</f>
        <v>Missing</v>
      </c>
      <c r="N76" s="15" t="str">
        <f>IF(OR(Cleaned_Data[[#This Row],[Review]]="",Cleaned_Data[[#This Row],[Rating]]=""),"Missing",IF(AND(Cleaned_Data[[#This Row],[Engagement]]="Strong Engagement",Cleaned_Data[[#This Row],[Rating Category]]="Average"),"Flag","OK"))</f>
        <v>Missing</v>
      </c>
      <c r="O76" s="15" t="str">
        <f>IF(OR(Cleaned_Data[[#This Row],[Review]]="",Cleaned_Data[[#This Row],[Rating]]=""),"Missing",IF(AND(Cleaned_Data[[#This Row],[Engagement]]="Strong Engagement",Cleaned_Data[[#This Row],[Rating Category]]="Excellent"),"Flag","OK"))</f>
        <v>Missing</v>
      </c>
      <c r="P76" s="15" t="str">
        <f>IF(Cleaned_Data[[#This Row],[Rating]]="","Missing Rating","Has Rating")</f>
        <v>Missing Rating</v>
      </c>
      <c r="Q76" s="7">
        <f>IFERROR(
(Cleaned_Data[[#This Row],[Old Price]]-Cleaned_Data[[#This Row],[Current Price]])/Cleaned_Data[[#This Row],[Old Price]],
""
)</f>
        <v>0.46801346801346799</v>
      </c>
      <c r="R76" s="7" t="str">
        <f>IF( Cleaned_Data[[#This Row],[Discount]] -
 Cleaned_Data[[#This Row],[Calculated Discount]]&gt;2%,
"Check",
"OK"
)</f>
        <v>OK</v>
      </c>
      <c r="S76" t="str">
        <f>IF(OR(Cleaned_Data[[#This Row],[Rating]]&lt;0,Cleaned_Data[[#This Row],[Rating]]&gt;5),"Check rating","OK")</f>
        <v>OK</v>
      </c>
      <c r="T76" t="str">
        <f>IF(OR(Cleaned_Data[[#This Row],[Discount]]&lt;0,Cleaned_Data[[#This Row],[Discount]]&gt;1),"Check discount","OK")</f>
        <v>OK</v>
      </c>
      <c r="U76" t="str">
        <f>IF(Cleaned_Data[[#This Row],[Current Price]]&gt;Cleaned_Data[[#This Row],[Old Price]],"Check prices","OK")</f>
        <v>OK</v>
      </c>
    </row>
    <row r="77" spans="1:21">
      <c r="A77" t="s">
        <v>236</v>
      </c>
      <c r="B77" s="8">
        <v>690</v>
      </c>
      <c r="C77" s="8">
        <v>1200</v>
      </c>
      <c r="D77" s="7">
        <v>0.43</v>
      </c>
      <c r="G77">
        <f>Cleaned_Data[[#This Row],[Old Price]]-Cleaned_Data[[#This Row],[Current Price]]</f>
        <v>510</v>
      </c>
      <c r="H77" s="15" t="str">
        <f>IF(Cleaned_Data[[#This Row],[Rating]]="","Missing",IF(Cleaned_Data[[#This Row],[Rating]]&lt;3,"Poor",IF(Cleaned_Data[[#This Row],[Rating]]&lt;=4.5,"Average","Excellent")))</f>
        <v>Missing</v>
      </c>
      <c r="I77" s="15" t="str">
        <f>IF(
Cleaned_Data[[#This Row],[Discount]]="",
"Missing",
IF(
Cleaned_Data[[#This Row],[Discount]]&lt;20%,
"Low Discount",
IF(
Cleaned_Data[[#This Row],[Discount]]&lt;=40%,
"Medium Discount",
"High Discount"
)
)
)</f>
        <v>High Discount</v>
      </c>
      <c r="J77" s="15" t="str">
        <f>IF(
Cleaned_Data[[#This Row],[Current Price]]="",
"Missing",
IF(
Cleaned_Data[[#This Row],[Current Price]]&lt;=Analysis!$B$3,
"Low Price",
IF(
Cleaned_Data[[#This Row],[Current Price]]&lt;=Analysis!$B$4,
"Medium Price",
"High Price"
)
)
)</f>
        <v>Medium Price</v>
      </c>
      <c r="K77" s="15" t="str">
        <f>IF(Cleaned_Data[[#This Row],[Review]]="","Missing",IF(Cleaned_Data[[#This Row],[Review]]&gt;=Engagement_Threshold,"Strong Engagement","Weak Engagement"))</f>
        <v>Missing</v>
      </c>
      <c r="L77" s="15" t="str">
        <f>IF(OR(Cleaned_Data[[#This Row],[Discount]]="",Cleaned_Data[[#This Row],[Rating]]=""),"Missing",IF(AND(Cleaned_Data[[#This Row],[Discount Category]]="High Discount",Cleaned_Data[[#This Row],[Rating Category]]="Poor"),"Flag","OK"))</f>
        <v>Missing</v>
      </c>
      <c r="M77" s="15" t="str">
        <f>IF(OR(Cleaned_Data[[#This Row],[Discount]]="",Cleaned_Data[[#This Row],[Review]]=""),"Missing",IF(AND(Cleaned_Data[[#This Row],[Discount Category]]="High Discount",Cleaned_Data[[#This Row],[Engagement]]="Weak Engagement"),"Flag","OK"))</f>
        <v>Missing</v>
      </c>
      <c r="N77" s="15" t="str">
        <f>IF(OR(Cleaned_Data[[#This Row],[Review]]="",Cleaned_Data[[#This Row],[Rating]]=""),"Missing",IF(AND(Cleaned_Data[[#This Row],[Engagement]]="Strong Engagement",Cleaned_Data[[#This Row],[Rating Category]]="Average"),"Flag","OK"))</f>
        <v>Missing</v>
      </c>
      <c r="O77" s="15" t="str">
        <f>IF(OR(Cleaned_Data[[#This Row],[Review]]="",Cleaned_Data[[#This Row],[Rating]]=""),"Missing",IF(AND(Cleaned_Data[[#This Row],[Engagement]]="Strong Engagement",Cleaned_Data[[#This Row],[Rating Category]]="Excellent"),"Flag","OK"))</f>
        <v>Missing</v>
      </c>
      <c r="P77" s="15" t="str">
        <f>IF(Cleaned_Data[[#This Row],[Rating]]="","Missing Rating","Has Rating")</f>
        <v>Missing Rating</v>
      </c>
      <c r="Q77" s="7">
        <f>IFERROR(
(Cleaned_Data[[#This Row],[Old Price]]-Cleaned_Data[[#This Row],[Current Price]])/Cleaned_Data[[#This Row],[Old Price]],
""
)</f>
        <v>0.42499999999999999</v>
      </c>
      <c r="R77" s="7" t="str">
        <f>IF( Cleaned_Data[[#This Row],[Discount]] -
 Cleaned_Data[[#This Row],[Calculated Discount]]&gt;2%,
"Check",
"OK"
)</f>
        <v>OK</v>
      </c>
      <c r="S77" t="str">
        <f>IF(OR(Cleaned_Data[[#This Row],[Rating]]&lt;0,Cleaned_Data[[#This Row],[Rating]]&gt;5),"Check rating","OK")</f>
        <v>OK</v>
      </c>
      <c r="T77" t="str">
        <f>IF(OR(Cleaned_Data[[#This Row],[Discount]]&lt;0,Cleaned_Data[[#This Row],[Discount]]&gt;1),"Check discount","OK")</f>
        <v>OK</v>
      </c>
      <c r="U77" t="str">
        <f>IF(Cleaned_Data[[#This Row],[Current Price]]&gt;Cleaned_Data[[#This Row],[Old Price]],"Check prices","OK")</f>
        <v>OK</v>
      </c>
    </row>
    <row r="78" spans="1:21">
      <c r="A78" t="s">
        <v>238</v>
      </c>
      <c r="B78" s="8">
        <v>1732</v>
      </c>
      <c r="C78" s="8">
        <v>1799</v>
      </c>
      <c r="D78" s="7">
        <v>0.04</v>
      </c>
      <c r="G78">
        <f>Cleaned_Data[[#This Row],[Old Price]]-Cleaned_Data[[#This Row],[Current Price]]</f>
        <v>67</v>
      </c>
      <c r="H78" s="15" t="str">
        <f>IF(Cleaned_Data[[#This Row],[Rating]]="","Missing",IF(Cleaned_Data[[#This Row],[Rating]]&lt;3,"Poor",IF(Cleaned_Data[[#This Row],[Rating]]&lt;=4.5,"Average","Excellent")))</f>
        <v>Missing</v>
      </c>
      <c r="I78" s="15" t="str">
        <f>IF(
Cleaned_Data[[#This Row],[Discount]]="",
"Missing",
IF(
Cleaned_Data[[#This Row],[Discount]]&lt;20%,
"Low Discount",
IF(
Cleaned_Data[[#This Row],[Discount]]&lt;=40%,
"Medium Discount",
"High Discount"
)
)
)</f>
        <v>Low Discount</v>
      </c>
      <c r="J78" s="15" t="str">
        <f>IF(
Cleaned_Data[[#This Row],[Current Price]]="",
"Missing",
IF(
Cleaned_Data[[#This Row],[Current Price]]&lt;=Analysis!$B$3,
"Low Price",
IF(
Cleaned_Data[[#This Row],[Current Price]]&lt;=Analysis!$B$4,
"Medium Price",
"High Price"
)
)
)</f>
        <v>High Price</v>
      </c>
      <c r="K78" s="15" t="str">
        <f>IF(Cleaned_Data[[#This Row],[Review]]="","Missing",IF(Cleaned_Data[[#This Row],[Review]]&gt;=Engagement_Threshold,"Strong Engagement","Weak Engagement"))</f>
        <v>Missing</v>
      </c>
      <c r="L78" s="15" t="str">
        <f>IF(OR(Cleaned_Data[[#This Row],[Discount]]="",Cleaned_Data[[#This Row],[Rating]]=""),"Missing",IF(AND(Cleaned_Data[[#This Row],[Discount Category]]="High Discount",Cleaned_Data[[#This Row],[Rating Category]]="Poor"),"Flag","OK"))</f>
        <v>Missing</v>
      </c>
      <c r="M78" s="15" t="str">
        <f>IF(OR(Cleaned_Data[[#This Row],[Discount]]="",Cleaned_Data[[#This Row],[Review]]=""),"Missing",IF(AND(Cleaned_Data[[#This Row],[Discount Category]]="High Discount",Cleaned_Data[[#This Row],[Engagement]]="Weak Engagement"),"Flag","OK"))</f>
        <v>Missing</v>
      </c>
      <c r="N78" s="15" t="str">
        <f>IF(OR(Cleaned_Data[[#This Row],[Review]]="",Cleaned_Data[[#This Row],[Rating]]=""),"Missing",IF(AND(Cleaned_Data[[#This Row],[Engagement]]="Strong Engagement",Cleaned_Data[[#This Row],[Rating Category]]="Average"),"Flag","OK"))</f>
        <v>Missing</v>
      </c>
      <c r="O78" s="15" t="str">
        <f>IF(OR(Cleaned_Data[[#This Row],[Review]]="",Cleaned_Data[[#This Row],[Rating]]=""),"Missing",IF(AND(Cleaned_Data[[#This Row],[Engagement]]="Strong Engagement",Cleaned_Data[[#This Row],[Rating Category]]="Excellent"),"Flag","OK"))</f>
        <v>Missing</v>
      </c>
      <c r="P78" s="15" t="str">
        <f>IF(Cleaned_Data[[#This Row],[Rating]]="","Missing Rating","Has Rating")</f>
        <v>Missing Rating</v>
      </c>
      <c r="Q78" s="7">
        <f>IFERROR(
(Cleaned_Data[[#This Row],[Old Price]]-Cleaned_Data[[#This Row],[Current Price]])/Cleaned_Data[[#This Row],[Old Price]],
""
)</f>
        <v>3.7242912729294052E-2</v>
      </c>
      <c r="R78" s="7" t="str">
        <f>IF( Cleaned_Data[[#This Row],[Discount]] -
 Cleaned_Data[[#This Row],[Calculated Discount]]&gt;2%,
"Check",
"OK"
)</f>
        <v>OK</v>
      </c>
      <c r="S78" t="str">
        <f>IF(OR(Cleaned_Data[[#This Row],[Rating]]&lt;0,Cleaned_Data[[#This Row],[Rating]]&gt;5),"Check rating","OK")</f>
        <v>OK</v>
      </c>
      <c r="T78" t="str">
        <f>IF(OR(Cleaned_Data[[#This Row],[Discount]]&lt;0,Cleaned_Data[[#This Row],[Discount]]&gt;1),"Check discount","OK")</f>
        <v>OK</v>
      </c>
      <c r="U78" t="str">
        <f>IF(Cleaned_Data[[#This Row],[Current Price]]&gt;Cleaned_Data[[#This Row],[Old Price]],"Check prices","OK")</f>
        <v>OK</v>
      </c>
    </row>
    <row r="79" spans="1:21">
      <c r="A79" t="s">
        <v>241</v>
      </c>
      <c r="B79" s="8">
        <v>230</v>
      </c>
      <c r="C79" s="8">
        <v>450</v>
      </c>
      <c r="D79" s="7">
        <v>0.49</v>
      </c>
      <c r="G79">
        <f>Cleaned_Data[[#This Row],[Old Price]]-Cleaned_Data[[#This Row],[Current Price]]</f>
        <v>220</v>
      </c>
      <c r="H79" s="15" t="str">
        <f>IF(Cleaned_Data[[#This Row],[Rating]]="","Missing",IF(Cleaned_Data[[#This Row],[Rating]]&lt;3,"Poor",IF(Cleaned_Data[[#This Row],[Rating]]&lt;=4.5,"Average","Excellent")))</f>
        <v>Missing</v>
      </c>
      <c r="I79" s="15" t="str">
        <f>IF(
Cleaned_Data[[#This Row],[Discount]]="",
"Missing",
IF(
Cleaned_Data[[#This Row],[Discount]]&lt;20%,
"Low Discount",
IF(
Cleaned_Data[[#This Row],[Discount]]&lt;=40%,
"Medium Discount",
"High Discount"
)
)
)</f>
        <v>High Discount</v>
      </c>
      <c r="J79" s="15" t="str">
        <f>IF(
Cleaned_Data[[#This Row],[Current Price]]="",
"Missing",
IF(
Cleaned_Data[[#This Row],[Current Price]]&lt;=Analysis!$B$3,
"Low Price",
IF(
Cleaned_Data[[#This Row],[Current Price]]&lt;=Analysis!$B$4,
"Medium Price",
"High Price"
)
)
)</f>
        <v>Low Price</v>
      </c>
      <c r="K79" s="15" t="str">
        <f>IF(Cleaned_Data[[#This Row],[Review]]="","Missing",IF(Cleaned_Data[[#This Row],[Review]]&gt;=Engagement_Threshold,"Strong Engagement","Weak Engagement"))</f>
        <v>Missing</v>
      </c>
      <c r="L79" s="15" t="str">
        <f>IF(OR(Cleaned_Data[[#This Row],[Discount]]="",Cleaned_Data[[#This Row],[Rating]]=""),"Missing",IF(AND(Cleaned_Data[[#This Row],[Discount Category]]="High Discount",Cleaned_Data[[#This Row],[Rating Category]]="Poor"),"Flag","OK"))</f>
        <v>Missing</v>
      </c>
      <c r="M79" s="15" t="str">
        <f>IF(OR(Cleaned_Data[[#This Row],[Discount]]="",Cleaned_Data[[#This Row],[Review]]=""),"Missing",IF(AND(Cleaned_Data[[#This Row],[Discount Category]]="High Discount",Cleaned_Data[[#This Row],[Engagement]]="Weak Engagement"),"Flag","OK"))</f>
        <v>Missing</v>
      </c>
      <c r="N79" s="15" t="str">
        <f>IF(OR(Cleaned_Data[[#This Row],[Review]]="",Cleaned_Data[[#This Row],[Rating]]=""),"Missing",IF(AND(Cleaned_Data[[#This Row],[Engagement]]="Strong Engagement",Cleaned_Data[[#This Row],[Rating Category]]="Average"),"Flag","OK"))</f>
        <v>Missing</v>
      </c>
      <c r="O79" s="15" t="str">
        <f>IF(OR(Cleaned_Data[[#This Row],[Review]]="",Cleaned_Data[[#This Row],[Rating]]=""),"Missing",IF(AND(Cleaned_Data[[#This Row],[Engagement]]="Strong Engagement",Cleaned_Data[[#This Row],[Rating Category]]="Excellent"),"Flag","OK"))</f>
        <v>Missing</v>
      </c>
      <c r="P79" s="15" t="str">
        <f>IF(Cleaned_Data[[#This Row],[Rating]]="","Missing Rating","Has Rating")</f>
        <v>Missing Rating</v>
      </c>
      <c r="Q79" s="7">
        <f>IFERROR(
(Cleaned_Data[[#This Row],[Old Price]]-Cleaned_Data[[#This Row],[Current Price]])/Cleaned_Data[[#This Row],[Old Price]],
""
)</f>
        <v>0.48888888888888887</v>
      </c>
      <c r="R79" s="7" t="str">
        <f>IF( Cleaned_Data[[#This Row],[Discount]] -
 Cleaned_Data[[#This Row],[Calculated Discount]]&gt;2%,
"Check",
"OK"
)</f>
        <v>OK</v>
      </c>
      <c r="S79" t="str">
        <f>IF(OR(Cleaned_Data[[#This Row],[Rating]]&lt;0,Cleaned_Data[[#This Row],[Rating]]&gt;5),"Check rating","OK")</f>
        <v>OK</v>
      </c>
      <c r="T79" t="str">
        <f>IF(OR(Cleaned_Data[[#This Row],[Discount]]&lt;0,Cleaned_Data[[#This Row],[Discount]]&gt;1),"Check discount","OK")</f>
        <v>OK</v>
      </c>
      <c r="U79" t="str">
        <f>IF(Cleaned_Data[[#This Row],[Current Price]]&gt;Cleaned_Data[[#This Row],[Old Price]],"Check prices","OK")</f>
        <v>OK</v>
      </c>
    </row>
    <row r="80" spans="1:21">
      <c r="A80" t="s">
        <v>244</v>
      </c>
      <c r="B80" s="8">
        <v>1189</v>
      </c>
      <c r="C80" s="8">
        <v>2199</v>
      </c>
      <c r="D80" s="7">
        <v>0.46</v>
      </c>
      <c r="E80">
        <v>1</v>
      </c>
      <c r="F80">
        <v>3</v>
      </c>
      <c r="G80">
        <f>Cleaned_Data[[#This Row],[Old Price]]-Cleaned_Data[[#This Row],[Current Price]]</f>
        <v>1010</v>
      </c>
      <c r="H80" s="15" t="str">
        <f>IF(Cleaned_Data[[#This Row],[Rating]]="","Missing",IF(Cleaned_Data[[#This Row],[Rating]]&lt;3,"Poor",IF(Cleaned_Data[[#This Row],[Rating]]&lt;=4.5,"Average","Excellent")))</f>
        <v>Average</v>
      </c>
      <c r="I80" s="15" t="str">
        <f>IF(
Cleaned_Data[[#This Row],[Discount]]="",
"Missing",
IF(
Cleaned_Data[[#This Row],[Discount]]&lt;20%,
"Low Discount",
IF(
Cleaned_Data[[#This Row],[Discount]]&lt;=40%,
"Medium Discount",
"High Discount"
)
)
)</f>
        <v>High Discount</v>
      </c>
      <c r="J80" s="15" t="str">
        <f>IF(
Cleaned_Data[[#This Row],[Current Price]]="",
"Missing",
IF(
Cleaned_Data[[#This Row],[Current Price]]&lt;=Analysis!$B$3,
"Low Price",
IF(
Cleaned_Data[[#This Row],[Current Price]]&lt;=Analysis!$B$4,
"Medium Price",
"High Price"
)
)
)</f>
        <v>Medium Price</v>
      </c>
      <c r="K80" s="15" t="str">
        <f>IF(Cleaned_Data[[#This Row],[Review]]="","Missing",IF(Cleaned_Data[[#This Row],[Review]]&gt;=Engagement_Threshold,"Strong Engagement","Weak Engagement"))</f>
        <v>Weak Engagement</v>
      </c>
      <c r="L80" s="15" t="str">
        <f>IF(OR(Cleaned_Data[[#This Row],[Discount]]="",Cleaned_Data[[#This Row],[Rating]]=""),"Missing",IF(AND(Cleaned_Data[[#This Row],[Discount Category]]="High Discount",Cleaned_Data[[#This Row],[Rating Category]]="Poor"),"Flag","OK"))</f>
        <v>OK</v>
      </c>
      <c r="M80" s="15" t="str">
        <f>IF(OR(Cleaned_Data[[#This Row],[Discount]]="",Cleaned_Data[[#This Row],[Review]]=""),"Missing",IF(AND(Cleaned_Data[[#This Row],[Discount Category]]="High Discount",Cleaned_Data[[#This Row],[Engagement]]="Weak Engagement"),"Flag","OK"))</f>
        <v>Flag</v>
      </c>
      <c r="N80" s="15" t="str">
        <f>IF(OR(Cleaned_Data[[#This Row],[Review]]="",Cleaned_Data[[#This Row],[Rating]]=""),"Missing",IF(AND(Cleaned_Data[[#This Row],[Engagement]]="Strong Engagement",Cleaned_Data[[#This Row],[Rating Category]]="Average"),"Flag","OK"))</f>
        <v>OK</v>
      </c>
      <c r="O80" s="15" t="str">
        <f>IF(OR(Cleaned_Data[[#This Row],[Review]]="",Cleaned_Data[[#This Row],[Rating]]=""),"Missing",IF(AND(Cleaned_Data[[#This Row],[Engagement]]="Strong Engagement",Cleaned_Data[[#This Row],[Rating Category]]="Excellent"),"Flag","OK"))</f>
        <v>OK</v>
      </c>
      <c r="P80" s="15" t="str">
        <f>IF(Cleaned_Data[[#This Row],[Rating]]="","Missing Rating","Has Rating")</f>
        <v>Has Rating</v>
      </c>
      <c r="Q80" s="7">
        <f>IFERROR(
(Cleaned_Data[[#This Row],[Old Price]]-Cleaned_Data[[#This Row],[Current Price]])/Cleaned_Data[[#This Row],[Old Price]],
""
)</f>
        <v>0.45929968167348795</v>
      </c>
      <c r="R80" s="7" t="str">
        <f>IF( Cleaned_Data[[#This Row],[Discount]] -
 Cleaned_Data[[#This Row],[Calculated Discount]]&gt;2%,
"Check",
"OK"
)</f>
        <v>OK</v>
      </c>
      <c r="S80" t="str">
        <f>IF(OR(Cleaned_Data[[#This Row],[Rating]]&lt;0,Cleaned_Data[[#This Row],[Rating]]&gt;5),"Check rating","OK")</f>
        <v>OK</v>
      </c>
      <c r="T80" t="str">
        <f>IF(OR(Cleaned_Data[[#This Row],[Discount]]&lt;0,Cleaned_Data[[#This Row],[Discount]]&gt;1),"Check discount","OK")</f>
        <v>OK</v>
      </c>
      <c r="U80" t="str">
        <f>IF(Cleaned_Data[[#This Row],[Current Price]]&gt;Cleaned_Data[[#This Row],[Old Price]],"Check prices","OK")</f>
        <v>OK</v>
      </c>
    </row>
    <row r="81" spans="1:21">
      <c r="A81" t="s">
        <v>246</v>
      </c>
      <c r="B81" s="8">
        <v>979</v>
      </c>
      <c r="C81" s="8">
        <v>1920</v>
      </c>
      <c r="D81" s="7">
        <v>0.49</v>
      </c>
      <c r="E81">
        <v>1</v>
      </c>
      <c r="F81">
        <v>5</v>
      </c>
      <c r="G81">
        <f>Cleaned_Data[[#This Row],[Old Price]]-Cleaned_Data[[#This Row],[Current Price]]</f>
        <v>941</v>
      </c>
      <c r="H81" s="15" t="str">
        <f>IF(Cleaned_Data[[#This Row],[Rating]]="","Missing",IF(Cleaned_Data[[#This Row],[Rating]]&lt;3,"Poor",IF(Cleaned_Data[[#This Row],[Rating]]&lt;=4.5,"Average","Excellent")))</f>
        <v>Excellent</v>
      </c>
      <c r="I81" s="15" t="str">
        <f>IF(
Cleaned_Data[[#This Row],[Discount]]="",
"Missing",
IF(
Cleaned_Data[[#This Row],[Discount]]&lt;20%,
"Low Discount",
IF(
Cleaned_Data[[#This Row],[Discount]]&lt;=40%,
"Medium Discount",
"High Discount"
)
)
)</f>
        <v>High Discount</v>
      </c>
      <c r="J81" s="15" t="str">
        <f>IF(
Cleaned_Data[[#This Row],[Current Price]]="",
"Missing",
IF(
Cleaned_Data[[#This Row],[Current Price]]&lt;=Analysis!$B$3,
"Low Price",
IF(
Cleaned_Data[[#This Row],[Current Price]]&lt;=Analysis!$B$4,
"Medium Price",
"High Price"
)
)
)</f>
        <v>Medium Price</v>
      </c>
      <c r="K81" s="15" t="str">
        <f>IF(Cleaned_Data[[#This Row],[Review]]="","Missing",IF(Cleaned_Data[[#This Row],[Review]]&gt;=Engagement_Threshold,"Strong Engagement","Weak Engagement"))</f>
        <v>Weak Engagement</v>
      </c>
      <c r="L81" s="15" t="str">
        <f>IF(OR(Cleaned_Data[[#This Row],[Discount]]="",Cleaned_Data[[#This Row],[Rating]]=""),"Missing",IF(AND(Cleaned_Data[[#This Row],[Discount Category]]="High Discount",Cleaned_Data[[#This Row],[Rating Category]]="Poor"),"Flag","OK"))</f>
        <v>OK</v>
      </c>
      <c r="M81" s="15" t="str">
        <f>IF(OR(Cleaned_Data[[#This Row],[Discount]]="",Cleaned_Data[[#This Row],[Review]]=""),"Missing",IF(AND(Cleaned_Data[[#This Row],[Discount Category]]="High Discount",Cleaned_Data[[#This Row],[Engagement]]="Weak Engagement"),"Flag","OK"))</f>
        <v>Flag</v>
      </c>
      <c r="N81" s="15" t="str">
        <f>IF(OR(Cleaned_Data[[#This Row],[Review]]="",Cleaned_Data[[#This Row],[Rating]]=""),"Missing",IF(AND(Cleaned_Data[[#This Row],[Engagement]]="Strong Engagement",Cleaned_Data[[#This Row],[Rating Category]]="Average"),"Flag","OK"))</f>
        <v>OK</v>
      </c>
      <c r="O81" s="15" t="str">
        <f>IF(OR(Cleaned_Data[[#This Row],[Review]]="",Cleaned_Data[[#This Row],[Rating]]=""),"Missing",IF(AND(Cleaned_Data[[#This Row],[Engagement]]="Strong Engagement",Cleaned_Data[[#This Row],[Rating Category]]="Excellent"),"Flag","OK"))</f>
        <v>OK</v>
      </c>
      <c r="P81" s="15" t="str">
        <f>IF(Cleaned_Data[[#This Row],[Rating]]="","Missing Rating","Has Rating")</f>
        <v>Has Rating</v>
      </c>
      <c r="Q81" s="7">
        <f>IFERROR(
(Cleaned_Data[[#This Row],[Old Price]]-Cleaned_Data[[#This Row],[Current Price]])/Cleaned_Data[[#This Row],[Old Price]],
""
)</f>
        <v>0.49010416666666667</v>
      </c>
      <c r="R81" s="7" t="str">
        <f>IF( Cleaned_Data[[#This Row],[Discount]] -
 Cleaned_Data[[#This Row],[Calculated Discount]]&gt;2%,
"Check",
"OK"
)</f>
        <v>OK</v>
      </c>
      <c r="S81" t="str">
        <f>IF(OR(Cleaned_Data[[#This Row],[Rating]]&lt;0,Cleaned_Data[[#This Row],[Rating]]&gt;5),"Check rating","OK")</f>
        <v>OK</v>
      </c>
      <c r="T81" t="str">
        <f>IF(OR(Cleaned_Data[[#This Row],[Discount]]&lt;0,Cleaned_Data[[#This Row],[Discount]]&gt;1),"Check discount","OK")</f>
        <v>OK</v>
      </c>
      <c r="U81" t="str">
        <f>IF(Cleaned_Data[[#This Row],[Current Price]]&gt;Cleaned_Data[[#This Row],[Old Price]],"Check prices","OK")</f>
        <v>OK</v>
      </c>
    </row>
    <row r="82" spans="1:21">
      <c r="A82" t="s">
        <v>249</v>
      </c>
      <c r="B82" s="8">
        <v>1460</v>
      </c>
      <c r="C82" s="8">
        <v>2290</v>
      </c>
      <c r="D82" s="7">
        <v>0.36</v>
      </c>
      <c r="G82">
        <f>Cleaned_Data[[#This Row],[Old Price]]-Cleaned_Data[[#This Row],[Current Price]]</f>
        <v>830</v>
      </c>
      <c r="H82" s="15" t="str">
        <f>IF(Cleaned_Data[[#This Row],[Rating]]="","Missing",IF(Cleaned_Data[[#This Row],[Rating]]&lt;3,"Poor",IF(Cleaned_Data[[#This Row],[Rating]]&lt;=4.5,"Average","Excellent")))</f>
        <v>Missing</v>
      </c>
      <c r="I82" s="15" t="str">
        <f>IF(
Cleaned_Data[[#This Row],[Discount]]="",
"Missing",
IF(
Cleaned_Data[[#This Row],[Discount]]&lt;20%,
"Low Discount",
IF(
Cleaned_Data[[#This Row],[Discount]]&lt;=40%,
"Medium Discount",
"High Discount"
)
)
)</f>
        <v>Medium Discount</v>
      </c>
      <c r="J82" s="15" t="str">
        <f>IF(
Cleaned_Data[[#This Row],[Current Price]]="",
"Missing",
IF(
Cleaned_Data[[#This Row],[Current Price]]&lt;=Analysis!$B$3,
"Low Price",
IF(
Cleaned_Data[[#This Row],[Current Price]]&lt;=Analysis!$B$4,
"Medium Price",
"High Price"
)
)
)</f>
        <v>Medium Price</v>
      </c>
      <c r="K82" s="15" t="str">
        <f>IF(Cleaned_Data[[#This Row],[Review]]="","Missing",IF(Cleaned_Data[[#This Row],[Review]]&gt;=Engagement_Threshold,"Strong Engagement","Weak Engagement"))</f>
        <v>Missing</v>
      </c>
      <c r="L82" s="15" t="str">
        <f>IF(OR(Cleaned_Data[[#This Row],[Discount]]="",Cleaned_Data[[#This Row],[Rating]]=""),"Missing",IF(AND(Cleaned_Data[[#This Row],[Discount Category]]="High Discount",Cleaned_Data[[#This Row],[Rating Category]]="Poor"),"Flag","OK"))</f>
        <v>Missing</v>
      </c>
      <c r="M82" s="15" t="str">
        <f>IF(OR(Cleaned_Data[[#This Row],[Discount]]="",Cleaned_Data[[#This Row],[Review]]=""),"Missing",IF(AND(Cleaned_Data[[#This Row],[Discount Category]]="High Discount",Cleaned_Data[[#This Row],[Engagement]]="Weak Engagement"),"Flag","OK"))</f>
        <v>Missing</v>
      </c>
      <c r="N82" s="15" t="str">
        <f>IF(OR(Cleaned_Data[[#This Row],[Review]]="",Cleaned_Data[[#This Row],[Rating]]=""),"Missing",IF(AND(Cleaned_Data[[#This Row],[Engagement]]="Strong Engagement",Cleaned_Data[[#This Row],[Rating Category]]="Average"),"Flag","OK"))</f>
        <v>Missing</v>
      </c>
      <c r="O82" s="15" t="str">
        <f>IF(OR(Cleaned_Data[[#This Row],[Review]]="",Cleaned_Data[[#This Row],[Rating]]=""),"Missing",IF(AND(Cleaned_Data[[#This Row],[Engagement]]="Strong Engagement",Cleaned_Data[[#This Row],[Rating Category]]="Excellent"),"Flag","OK"))</f>
        <v>Missing</v>
      </c>
      <c r="P82" s="15" t="str">
        <f>IF(Cleaned_Data[[#This Row],[Rating]]="","Missing Rating","Has Rating")</f>
        <v>Missing Rating</v>
      </c>
      <c r="Q82" s="7">
        <f>IFERROR(
(Cleaned_Data[[#This Row],[Old Price]]-Cleaned_Data[[#This Row],[Current Price]])/Cleaned_Data[[#This Row],[Old Price]],
""
)</f>
        <v>0.36244541484716158</v>
      </c>
      <c r="R82" s="7" t="str">
        <f>IF( Cleaned_Data[[#This Row],[Discount]] -
 Cleaned_Data[[#This Row],[Calculated Discount]]&gt;2%,
"Check",
"OK"
)</f>
        <v>OK</v>
      </c>
      <c r="S82" t="str">
        <f>IF(OR(Cleaned_Data[[#This Row],[Rating]]&lt;0,Cleaned_Data[[#This Row],[Rating]]&gt;5),"Check rating","OK")</f>
        <v>OK</v>
      </c>
      <c r="T82" t="str">
        <f>IF(OR(Cleaned_Data[[#This Row],[Discount]]&lt;0,Cleaned_Data[[#This Row],[Discount]]&gt;1),"Check discount","OK")</f>
        <v>OK</v>
      </c>
      <c r="U82" t="str">
        <f>IF(Cleaned_Data[[#This Row],[Current Price]]&gt;Cleaned_Data[[#This Row],[Old Price]],"Check prices","OK")</f>
        <v>OK</v>
      </c>
    </row>
    <row r="83" spans="1:21">
      <c r="A83" t="s">
        <v>252</v>
      </c>
      <c r="B83" s="8">
        <v>1666</v>
      </c>
      <c r="C83" s="8">
        <v>1699</v>
      </c>
      <c r="D83" s="7">
        <v>0.02</v>
      </c>
      <c r="G83">
        <f>Cleaned_Data[[#This Row],[Old Price]]-Cleaned_Data[[#This Row],[Current Price]]</f>
        <v>33</v>
      </c>
      <c r="H83" s="15" t="str">
        <f>IF(Cleaned_Data[[#This Row],[Rating]]="","Missing",IF(Cleaned_Data[[#This Row],[Rating]]&lt;3,"Poor",IF(Cleaned_Data[[#This Row],[Rating]]&lt;=4.5,"Average","Excellent")))</f>
        <v>Missing</v>
      </c>
      <c r="I83" s="15" t="str">
        <f>IF(
Cleaned_Data[[#This Row],[Discount]]="",
"Missing",
IF(
Cleaned_Data[[#This Row],[Discount]]&lt;20%,
"Low Discount",
IF(
Cleaned_Data[[#This Row],[Discount]]&lt;=40%,
"Medium Discount",
"High Discount"
)
)
)</f>
        <v>Low Discount</v>
      </c>
      <c r="J83" s="15" t="str">
        <f>IF(
Cleaned_Data[[#This Row],[Current Price]]="",
"Missing",
IF(
Cleaned_Data[[#This Row],[Current Price]]&lt;=Analysis!$B$3,
"Low Price",
IF(
Cleaned_Data[[#This Row],[Current Price]]&lt;=Analysis!$B$4,
"Medium Price",
"High Price"
)
)
)</f>
        <v>Medium Price</v>
      </c>
      <c r="K83" s="15" t="str">
        <f>IF(Cleaned_Data[[#This Row],[Review]]="","Missing",IF(Cleaned_Data[[#This Row],[Review]]&gt;=Engagement_Threshold,"Strong Engagement","Weak Engagement"))</f>
        <v>Missing</v>
      </c>
      <c r="L83" s="15" t="str">
        <f>IF(OR(Cleaned_Data[[#This Row],[Discount]]="",Cleaned_Data[[#This Row],[Rating]]=""),"Missing",IF(AND(Cleaned_Data[[#This Row],[Discount Category]]="High Discount",Cleaned_Data[[#This Row],[Rating Category]]="Poor"),"Flag","OK"))</f>
        <v>Missing</v>
      </c>
      <c r="M83" s="15" t="str">
        <f>IF(OR(Cleaned_Data[[#This Row],[Discount]]="",Cleaned_Data[[#This Row],[Review]]=""),"Missing",IF(AND(Cleaned_Data[[#This Row],[Discount Category]]="High Discount",Cleaned_Data[[#This Row],[Engagement]]="Weak Engagement"),"Flag","OK"))</f>
        <v>Missing</v>
      </c>
      <c r="N83" s="15" t="str">
        <f>IF(OR(Cleaned_Data[[#This Row],[Review]]="",Cleaned_Data[[#This Row],[Rating]]=""),"Missing",IF(AND(Cleaned_Data[[#This Row],[Engagement]]="Strong Engagement",Cleaned_Data[[#This Row],[Rating Category]]="Average"),"Flag","OK"))</f>
        <v>Missing</v>
      </c>
      <c r="O83" s="15" t="str">
        <f>IF(OR(Cleaned_Data[[#This Row],[Review]]="",Cleaned_Data[[#This Row],[Rating]]=""),"Missing",IF(AND(Cleaned_Data[[#This Row],[Engagement]]="Strong Engagement",Cleaned_Data[[#This Row],[Rating Category]]="Excellent"),"Flag","OK"))</f>
        <v>Missing</v>
      </c>
      <c r="P83" s="15" t="str">
        <f>IF(Cleaned_Data[[#This Row],[Rating]]="","Missing Rating","Has Rating")</f>
        <v>Missing Rating</v>
      </c>
      <c r="Q83" s="7">
        <f>IFERROR(
(Cleaned_Data[[#This Row],[Old Price]]-Cleaned_Data[[#This Row],[Current Price]])/Cleaned_Data[[#This Row],[Old Price]],
""
)</f>
        <v>1.9423190111830489E-2</v>
      </c>
      <c r="R83" s="7" t="str">
        <f>IF( Cleaned_Data[[#This Row],[Discount]] -
 Cleaned_Data[[#This Row],[Calculated Discount]]&gt;2%,
"Check",
"OK"
)</f>
        <v>OK</v>
      </c>
      <c r="S83" t="str">
        <f>IF(OR(Cleaned_Data[[#This Row],[Rating]]&lt;0,Cleaned_Data[[#This Row],[Rating]]&gt;5),"Check rating","OK")</f>
        <v>OK</v>
      </c>
      <c r="T83" t="str">
        <f>IF(OR(Cleaned_Data[[#This Row],[Discount]]&lt;0,Cleaned_Data[[#This Row],[Discount]]&gt;1),"Check discount","OK")</f>
        <v>OK</v>
      </c>
      <c r="U83" t="str">
        <f>IF(Cleaned_Data[[#This Row],[Current Price]]&gt;Cleaned_Data[[#This Row],[Old Price]],"Check prices","OK")</f>
        <v>OK</v>
      </c>
    </row>
    <row r="84" spans="1:21">
      <c r="A84" t="s">
        <v>254</v>
      </c>
      <c r="B84" s="8">
        <v>330</v>
      </c>
      <c r="C84" s="8">
        <v>647</v>
      </c>
      <c r="D84" s="7">
        <v>0.49</v>
      </c>
      <c r="E84">
        <v>1</v>
      </c>
      <c r="F84">
        <v>4</v>
      </c>
      <c r="G84">
        <f>Cleaned_Data[[#This Row],[Old Price]]-Cleaned_Data[[#This Row],[Current Price]]</f>
        <v>317</v>
      </c>
      <c r="H84" s="15" t="str">
        <f>IF(Cleaned_Data[[#This Row],[Rating]]="","Missing",IF(Cleaned_Data[[#This Row],[Rating]]&lt;3,"Poor",IF(Cleaned_Data[[#This Row],[Rating]]&lt;=4.5,"Average","Excellent")))</f>
        <v>Average</v>
      </c>
      <c r="I84" s="15" t="str">
        <f>IF(
Cleaned_Data[[#This Row],[Discount]]="",
"Missing",
IF(
Cleaned_Data[[#This Row],[Discount]]&lt;20%,
"Low Discount",
IF(
Cleaned_Data[[#This Row],[Discount]]&lt;=40%,
"Medium Discount",
"High Discount"
)
)
)</f>
        <v>High Discount</v>
      </c>
      <c r="J84" s="15" t="str">
        <f>IF(
Cleaned_Data[[#This Row],[Current Price]]="",
"Missing",
IF(
Cleaned_Data[[#This Row],[Current Price]]&lt;=Analysis!$B$3,
"Low Price",
IF(
Cleaned_Data[[#This Row],[Current Price]]&lt;=Analysis!$B$4,
"Medium Price",
"High Price"
)
)
)</f>
        <v>Low Price</v>
      </c>
      <c r="K84" s="15" t="str">
        <f>IF(Cleaned_Data[[#This Row],[Review]]="","Missing",IF(Cleaned_Data[[#This Row],[Review]]&gt;=Engagement_Threshold,"Strong Engagement","Weak Engagement"))</f>
        <v>Weak Engagement</v>
      </c>
      <c r="L84" s="15" t="str">
        <f>IF(OR(Cleaned_Data[[#This Row],[Discount]]="",Cleaned_Data[[#This Row],[Rating]]=""),"Missing",IF(AND(Cleaned_Data[[#This Row],[Discount Category]]="High Discount",Cleaned_Data[[#This Row],[Rating Category]]="Poor"),"Flag","OK"))</f>
        <v>OK</v>
      </c>
      <c r="M84" s="15" t="str">
        <f>IF(OR(Cleaned_Data[[#This Row],[Discount]]="",Cleaned_Data[[#This Row],[Review]]=""),"Missing",IF(AND(Cleaned_Data[[#This Row],[Discount Category]]="High Discount",Cleaned_Data[[#This Row],[Engagement]]="Weak Engagement"),"Flag","OK"))</f>
        <v>Flag</v>
      </c>
      <c r="N84" s="15" t="str">
        <f>IF(OR(Cleaned_Data[[#This Row],[Review]]="",Cleaned_Data[[#This Row],[Rating]]=""),"Missing",IF(AND(Cleaned_Data[[#This Row],[Engagement]]="Strong Engagement",Cleaned_Data[[#This Row],[Rating Category]]="Average"),"Flag","OK"))</f>
        <v>OK</v>
      </c>
      <c r="O84" s="15" t="str">
        <f>IF(OR(Cleaned_Data[[#This Row],[Review]]="",Cleaned_Data[[#This Row],[Rating]]=""),"Missing",IF(AND(Cleaned_Data[[#This Row],[Engagement]]="Strong Engagement",Cleaned_Data[[#This Row],[Rating Category]]="Excellent"),"Flag","OK"))</f>
        <v>OK</v>
      </c>
      <c r="P84" s="15" t="str">
        <f>IF(Cleaned_Data[[#This Row],[Rating]]="","Missing Rating","Has Rating")</f>
        <v>Has Rating</v>
      </c>
      <c r="Q84" s="7">
        <f>IFERROR(
(Cleaned_Data[[#This Row],[Old Price]]-Cleaned_Data[[#This Row],[Current Price]])/Cleaned_Data[[#This Row],[Old Price]],
""
)</f>
        <v>0.48995363214837712</v>
      </c>
      <c r="R84" s="7" t="str">
        <f>IF( Cleaned_Data[[#This Row],[Discount]] -
 Cleaned_Data[[#This Row],[Calculated Discount]]&gt;2%,
"Check",
"OK"
)</f>
        <v>OK</v>
      </c>
      <c r="S84" t="str">
        <f>IF(OR(Cleaned_Data[[#This Row],[Rating]]&lt;0,Cleaned_Data[[#This Row],[Rating]]&gt;5),"Check rating","OK")</f>
        <v>OK</v>
      </c>
      <c r="T84" t="str">
        <f>IF(OR(Cleaned_Data[[#This Row],[Discount]]&lt;0,Cleaned_Data[[#This Row],[Discount]]&gt;1),"Check discount","OK")</f>
        <v>OK</v>
      </c>
      <c r="U84" t="str">
        <f>IF(Cleaned_Data[[#This Row],[Current Price]]&gt;Cleaned_Data[[#This Row],[Old Price]],"Check prices","OK")</f>
        <v>OK</v>
      </c>
    </row>
    <row r="85" spans="1:21">
      <c r="A85" t="s">
        <v>155</v>
      </c>
      <c r="B85" s="8">
        <v>176</v>
      </c>
      <c r="C85" s="8">
        <v>345</v>
      </c>
      <c r="D85" s="7">
        <v>0.49</v>
      </c>
      <c r="G85">
        <f>Cleaned_Data[[#This Row],[Old Price]]-Cleaned_Data[[#This Row],[Current Price]]</f>
        <v>169</v>
      </c>
      <c r="H85" s="15" t="str">
        <f>IF(Cleaned_Data[[#This Row],[Rating]]="","Missing",IF(Cleaned_Data[[#This Row],[Rating]]&lt;3,"Poor",IF(Cleaned_Data[[#This Row],[Rating]]&lt;=4.5,"Average","Excellent")))</f>
        <v>Missing</v>
      </c>
      <c r="I85" s="15" t="str">
        <f>IF(
Cleaned_Data[[#This Row],[Discount]]="",
"Missing",
IF(
Cleaned_Data[[#This Row],[Discount]]&lt;20%,
"Low Discount",
IF(
Cleaned_Data[[#This Row],[Discount]]&lt;=40%,
"Medium Discount",
"High Discount"
)
)
)</f>
        <v>High Discount</v>
      </c>
      <c r="J85" s="15" t="str">
        <f>IF(
Cleaned_Data[[#This Row],[Current Price]]="",
"Missing",
IF(
Cleaned_Data[[#This Row],[Current Price]]&lt;=Analysis!$B$3,
"Low Price",
IF(
Cleaned_Data[[#This Row],[Current Price]]&lt;=Analysis!$B$4,
"Medium Price",
"High Price"
)
)
)</f>
        <v>Low Price</v>
      </c>
      <c r="K85" s="15" t="str">
        <f>IF(Cleaned_Data[[#This Row],[Review]]="","Missing",IF(Cleaned_Data[[#This Row],[Review]]&gt;=Engagement_Threshold,"Strong Engagement","Weak Engagement"))</f>
        <v>Missing</v>
      </c>
      <c r="L85" s="15" t="str">
        <f>IF(OR(Cleaned_Data[[#This Row],[Discount]]="",Cleaned_Data[[#This Row],[Rating]]=""),"Missing",IF(AND(Cleaned_Data[[#This Row],[Discount Category]]="High Discount",Cleaned_Data[[#This Row],[Rating Category]]="Poor"),"Flag","OK"))</f>
        <v>Missing</v>
      </c>
      <c r="M85" s="15" t="str">
        <f>IF(OR(Cleaned_Data[[#This Row],[Discount]]="",Cleaned_Data[[#This Row],[Review]]=""),"Missing",IF(AND(Cleaned_Data[[#This Row],[Discount Category]]="High Discount",Cleaned_Data[[#This Row],[Engagement]]="Weak Engagement"),"Flag","OK"))</f>
        <v>Missing</v>
      </c>
      <c r="N85" s="15" t="str">
        <f>IF(OR(Cleaned_Data[[#This Row],[Review]]="",Cleaned_Data[[#This Row],[Rating]]=""),"Missing",IF(AND(Cleaned_Data[[#This Row],[Engagement]]="Strong Engagement",Cleaned_Data[[#This Row],[Rating Category]]="Average"),"Flag","OK"))</f>
        <v>Missing</v>
      </c>
      <c r="O85" s="15" t="str">
        <f>IF(OR(Cleaned_Data[[#This Row],[Review]]="",Cleaned_Data[[#This Row],[Rating]]=""),"Missing",IF(AND(Cleaned_Data[[#This Row],[Engagement]]="Strong Engagement",Cleaned_Data[[#This Row],[Rating Category]]="Excellent"),"Flag","OK"))</f>
        <v>Missing</v>
      </c>
      <c r="P85" s="15" t="str">
        <f>IF(Cleaned_Data[[#This Row],[Rating]]="","Missing Rating","Has Rating")</f>
        <v>Missing Rating</v>
      </c>
      <c r="Q85" s="7">
        <f>IFERROR(
(Cleaned_Data[[#This Row],[Old Price]]-Cleaned_Data[[#This Row],[Current Price]])/Cleaned_Data[[#This Row],[Old Price]],
""
)</f>
        <v>0.48985507246376814</v>
      </c>
      <c r="R85" s="7" t="str">
        <f>IF( Cleaned_Data[[#This Row],[Discount]] -
 Cleaned_Data[[#This Row],[Calculated Discount]]&gt;2%,
"Check",
"OK"
)</f>
        <v>OK</v>
      </c>
      <c r="S85" t="str">
        <f>IF(OR(Cleaned_Data[[#This Row],[Rating]]&lt;0,Cleaned_Data[[#This Row],[Rating]]&gt;5),"Check rating","OK")</f>
        <v>OK</v>
      </c>
      <c r="T85" t="str">
        <f>IF(OR(Cleaned_Data[[#This Row],[Discount]]&lt;0,Cleaned_Data[[#This Row],[Discount]]&gt;1),"Check discount","OK")</f>
        <v>OK</v>
      </c>
      <c r="U85" t="str">
        <f>IF(Cleaned_Data[[#This Row],[Current Price]]&gt;Cleaned_Data[[#This Row],[Old Price]],"Check prices","OK")</f>
        <v>OK</v>
      </c>
    </row>
    <row r="86" spans="1:21">
      <c r="A86" t="s">
        <v>257</v>
      </c>
      <c r="B86" s="8">
        <v>1466</v>
      </c>
      <c r="C86" s="8">
        <v>1699</v>
      </c>
      <c r="D86" s="7">
        <v>0.14000000000000001</v>
      </c>
      <c r="G86">
        <f>Cleaned_Data[[#This Row],[Old Price]]-Cleaned_Data[[#This Row],[Current Price]]</f>
        <v>233</v>
      </c>
      <c r="H86" s="15" t="str">
        <f>IF(Cleaned_Data[[#This Row],[Rating]]="","Missing",IF(Cleaned_Data[[#This Row],[Rating]]&lt;3,"Poor",IF(Cleaned_Data[[#This Row],[Rating]]&lt;=4.5,"Average","Excellent")))</f>
        <v>Missing</v>
      </c>
      <c r="I86" s="15" t="str">
        <f>IF(
Cleaned_Data[[#This Row],[Discount]]="",
"Missing",
IF(
Cleaned_Data[[#This Row],[Discount]]&lt;20%,
"Low Discount",
IF(
Cleaned_Data[[#This Row],[Discount]]&lt;=40%,
"Medium Discount",
"High Discount"
)
)
)</f>
        <v>Low Discount</v>
      </c>
      <c r="J86" s="15" t="str">
        <f>IF(
Cleaned_Data[[#This Row],[Current Price]]="",
"Missing",
IF(
Cleaned_Data[[#This Row],[Current Price]]&lt;=Analysis!$B$3,
"Low Price",
IF(
Cleaned_Data[[#This Row],[Current Price]]&lt;=Analysis!$B$4,
"Medium Price",
"High Price"
)
)
)</f>
        <v>Medium Price</v>
      </c>
      <c r="K86" s="15" t="str">
        <f>IF(Cleaned_Data[[#This Row],[Review]]="","Missing",IF(Cleaned_Data[[#This Row],[Review]]&gt;=Engagement_Threshold,"Strong Engagement","Weak Engagement"))</f>
        <v>Missing</v>
      </c>
      <c r="L86" s="15" t="str">
        <f>IF(OR(Cleaned_Data[[#This Row],[Discount]]="",Cleaned_Data[[#This Row],[Rating]]=""),"Missing",IF(AND(Cleaned_Data[[#This Row],[Discount Category]]="High Discount",Cleaned_Data[[#This Row],[Rating Category]]="Poor"),"Flag","OK"))</f>
        <v>Missing</v>
      </c>
      <c r="M86" s="15" t="str">
        <f>IF(OR(Cleaned_Data[[#This Row],[Discount]]="",Cleaned_Data[[#This Row],[Review]]=""),"Missing",IF(AND(Cleaned_Data[[#This Row],[Discount Category]]="High Discount",Cleaned_Data[[#This Row],[Engagement]]="Weak Engagement"),"Flag","OK"))</f>
        <v>Missing</v>
      </c>
      <c r="N86" s="15" t="str">
        <f>IF(OR(Cleaned_Data[[#This Row],[Review]]="",Cleaned_Data[[#This Row],[Rating]]=""),"Missing",IF(AND(Cleaned_Data[[#This Row],[Engagement]]="Strong Engagement",Cleaned_Data[[#This Row],[Rating Category]]="Average"),"Flag","OK"))</f>
        <v>Missing</v>
      </c>
      <c r="O86" s="15" t="str">
        <f>IF(OR(Cleaned_Data[[#This Row],[Review]]="",Cleaned_Data[[#This Row],[Rating]]=""),"Missing",IF(AND(Cleaned_Data[[#This Row],[Engagement]]="Strong Engagement",Cleaned_Data[[#This Row],[Rating Category]]="Excellent"),"Flag","OK"))</f>
        <v>Missing</v>
      </c>
      <c r="P86" s="15" t="str">
        <f>IF(Cleaned_Data[[#This Row],[Rating]]="","Missing Rating","Has Rating")</f>
        <v>Missing Rating</v>
      </c>
      <c r="Q86" s="7">
        <f>IFERROR(
(Cleaned_Data[[#This Row],[Old Price]]-Cleaned_Data[[#This Row],[Current Price]])/Cleaned_Data[[#This Row],[Old Price]],
""
)</f>
        <v>0.13713949381989404</v>
      </c>
      <c r="R86" s="7" t="str">
        <f>IF( Cleaned_Data[[#This Row],[Discount]] -
 Cleaned_Data[[#This Row],[Calculated Discount]]&gt;2%,
"Check",
"OK"
)</f>
        <v>OK</v>
      </c>
      <c r="S86" t="str">
        <f>IF(OR(Cleaned_Data[[#This Row],[Rating]]&lt;0,Cleaned_Data[[#This Row],[Rating]]&gt;5),"Check rating","OK")</f>
        <v>OK</v>
      </c>
      <c r="T86" t="str">
        <f>IF(OR(Cleaned_Data[[#This Row],[Discount]]&lt;0,Cleaned_Data[[#This Row],[Discount]]&gt;1),"Check discount","OK")</f>
        <v>OK</v>
      </c>
      <c r="U86" t="str">
        <f>IF(Cleaned_Data[[#This Row],[Current Price]]&gt;Cleaned_Data[[#This Row],[Old Price]],"Check prices","OK")</f>
        <v>OK</v>
      </c>
    </row>
    <row r="87" spans="1:21">
      <c r="A87" t="s">
        <v>259</v>
      </c>
      <c r="B87" s="8">
        <v>274</v>
      </c>
      <c r="C87" s="8">
        <v>537</v>
      </c>
      <c r="D87" s="7">
        <v>0.49</v>
      </c>
      <c r="G87">
        <f>Cleaned_Data[[#This Row],[Old Price]]-Cleaned_Data[[#This Row],[Current Price]]</f>
        <v>263</v>
      </c>
      <c r="H87" s="15" t="str">
        <f>IF(Cleaned_Data[[#This Row],[Rating]]="","Missing",IF(Cleaned_Data[[#This Row],[Rating]]&lt;3,"Poor",IF(Cleaned_Data[[#This Row],[Rating]]&lt;=4.5,"Average","Excellent")))</f>
        <v>Missing</v>
      </c>
      <c r="I87" s="15" t="str">
        <f>IF(
Cleaned_Data[[#This Row],[Discount]]="",
"Missing",
IF(
Cleaned_Data[[#This Row],[Discount]]&lt;20%,
"Low Discount",
IF(
Cleaned_Data[[#This Row],[Discount]]&lt;=40%,
"Medium Discount",
"High Discount"
)
)
)</f>
        <v>High Discount</v>
      </c>
      <c r="J87" s="15" t="str">
        <f>IF(
Cleaned_Data[[#This Row],[Current Price]]="",
"Missing",
IF(
Cleaned_Data[[#This Row],[Current Price]]&lt;=Analysis!$B$3,
"Low Price",
IF(
Cleaned_Data[[#This Row],[Current Price]]&lt;=Analysis!$B$4,
"Medium Price",
"High Price"
)
)
)</f>
        <v>Low Price</v>
      </c>
      <c r="K87" s="15" t="str">
        <f>IF(Cleaned_Data[[#This Row],[Review]]="","Missing",IF(Cleaned_Data[[#This Row],[Review]]&gt;=Engagement_Threshold,"Strong Engagement","Weak Engagement"))</f>
        <v>Missing</v>
      </c>
      <c r="L87" s="15" t="str">
        <f>IF(OR(Cleaned_Data[[#This Row],[Discount]]="",Cleaned_Data[[#This Row],[Rating]]=""),"Missing",IF(AND(Cleaned_Data[[#This Row],[Discount Category]]="High Discount",Cleaned_Data[[#This Row],[Rating Category]]="Poor"),"Flag","OK"))</f>
        <v>Missing</v>
      </c>
      <c r="M87" s="15" t="str">
        <f>IF(OR(Cleaned_Data[[#This Row],[Discount]]="",Cleaned_Data[[#This Row],[Review]]=""),"Missing",IF(AND(Cleaned_Data[[#This Row],[Discount Category]]="High Discount",Cleaned_Data[[#This Row],[Engagement]]="Weak Engagement"),"Flag","OK"))</f>
        <v>Missing</v>
      </c>
      <c r="N87" s="15" t="str">
        <f>IF(OR(Cleaned_Data[[#This Row],[Review]]="",Cleaned_Data[[#This Row],[Rating]]=""),"Missing",IF(AND(Cleaned_Data[[#This Row],[Engagement]]="Strong Engagement",Cleaned_Data[[#This Row],[Rating Category]]="Average"),"Flag","OK"))</f>
        <v>Missing</v>
      </c>
      <c r="O87" s="15" t="str">
        <f>IF(OR(Cleaned_Data[[#This Row],[Review]]="",Cleaned_Data[[#This Row],[Rating]]=""),"Missing",IF(AND(Cleaned_Data[[#This Row],[Engagement]]="Strong Engagement",Cleaned_Data[[#This Row],[Rating Category]]="Excellent"),"Flag","OK"))</f>
        <v>Missing</v>
      </c>
      <c r="P87" s="15" t="str">
        <f>IF(Cleaned_Data[[#This Row],[Rating]]="","Missing Rating","Has Rating")</f>
        <v>Missing Rating</v>
      </c>
      <c r="Q87" s="7">
        <f>IFERROR(
(Cleaned_Data[[#This Row],[Old Price]]-Cleaned_Data[[#This Row],[Current Price]])/Cleaned_Data[[#This Row],[Old Price]],
""
)</f>
        <v>0.48975791433891991</v>
      </c>
      <c r="R87" s="7" t="str">
        <f>IF( Cleaned_Data[[#This Row],[Discount]] -
 Cleaned_Data[[#This Row],[Calculated Discount]]&gt;2%,
"Check",
"OK"
)</f>
        <v>OK</v>
      </c>
      <c r="S87" t="str">
        <f>IF(OR(Cleaned_Data[[#This Row],[Rating]]&lt;0,Cleaned_Data[[#This Row],[Rating]]&gt;5),"Check rating","OK")</f>
        <v>OK</v>
      </c>
      <c r="T87" t="str">
        <f>IF(OR(Cleaned_Data[[#This Row],[Discount]]&lt;0,Cleaned_Data[[#This Row],[Discount]]&gt;1),"Check discount","OK")</f>
        <v>OK</v>
      </c>
      <c r="U87" t="str">
        <f>IF(Cleaned_Data[[#This Row],[Current Price]]&gt;Cleaned_Data[[#This Row],[Old Price]],"Check prices","OK")</f>
        <v>OK</v>
      </c>
    </row>
    <row r="88" spans="1:21">
      <c r="A88" t="s">
        <v>262</v>
      </c>
      <c r="B88" s="8">
        <v>799</v>
      </c>
      <c r="C88" s="8">
        <v>900</v>
      </c>
      <c r="D88" s="7">
        <v>0.11</v>
      </c>
      <c r="G88">
        <f>Cleaned_Data[[#This Row],[Old Price]]-Cleaned_Data[[#This Row],[Current Price]]</f>
        <v>101</v>
      </c>
      <c r="H88" s="15" t="str">
        <f>IF(Cleaned_Data[[#This Row],[Rating]]="","Missing",IF(Cleaned_Data[[#This Row],[Rating]]&lt;3,"Poor",IF(Cleaned_Data[[#This Row],[Rating]]&lt;=4.5,"Average","Excellent")))</f>
        <v>Missing</v>
      </c>
      <c r="I88" s="15" t="str">
        <f>IF(
Cleaned_Data[[#This Row],[Discount]]="",
"Missing",
IF(
Cleaned_Data[[#This Row],[Discount]]&lt;20%,
"Low Discount",
IF(
Cleaned_Data[[#This Row],[Discount]]&lt;=40%,
"Medium Discount",
"High Discount"
)
)
)</f>
        <v>Low Discount</v>
      </c>
      <c r="J88" s="15" t="str">
        <f>IF(
Cleaned_Data[[#This Row],[Current Price]]="",
"Missing",
IF(
Cleaned_Data[[#This Row],[Current Price]]&lt;=Analysis!$B$3,
"Low Price",
IF(
Cleaned_Data[[#This Row],[Current Price]]&lt;=Analysis!$B$4,
"Medium Price",
"High Price"
)
)
)</f>
        <v>Medium Price</v>
      </c>
      <c r="K88" s="15" t="str">
        <f>IF(Cleaned_Data[[#This Row],[Review]]="","Missing",IF(Cleaned_Data[[#This Row],[Review]]&gt;=Engagement_Threshold,"Strong Engagement","Weak Engagement"))</f>
        <v>Missing</v>
      </c>
      <c r="L88" s="15" t="str">
        <f>IF(OR(Cleaned_Data[[#This Row],[Discount]]="",Cleaned_Data[[#This Row],[Rating]]=""),"Missing",IF(AND(Cleaned_Data[[#This Row],[Discount Category]]="High Discount",Cleaned_Data[[#This Row],[Rating Category]]="Poor"),"Flag","OK"))</f>
        <v>Missing</v>
      </c>
      <c r="M88" s="15" t="str">
        <f>IF(OR(Cleaned_Data[[#This Row],[Discount]]="",Cleaned_Data[[#This Row],[Review]]=""),"Missing",IF(AND(Cleaned_Data[[#This Row],[Discount Category]]="High Discount",Cleaned_Data[[#This Row],[Engagement]]="Weak Engagement"),"Flag","OK"))</f>
        <v>Missing</v>
      </c>
      <c r="N88" s="15" t="str">
        <f>IF(OR(Cleaned_Data[[#This Row],[Review]]="",Cleaned_Data[[#This Row],[Rating]]=""),"Missing",IF(AND(Cleaned_Data[[#This Row],[Engagement]]="Strong Engagement",Cleaned_Data[[#This Row],[Rating Category]]="Average"),"Flag","OK"))</f>
        <v>Missing</v>
      </c>
      <c r="O88" s="15" t="str">
        <f>IF(OR(Cleaned_Data[[#This Row],[Review]]="",Cleaned_Data[[#This Row],[Rating]]=""),"Missing",IF(AND(Cleaned_Data[[#This Row],[Engagement]]="Strong Engagement",Cleaned_Data[[#This Row],[Rating Category]]="Excellent"),"Flag","OK"))</f>
        <v>Missing</v>
      </c>
      <c r="P88" s="15" t="str">
        <f>IF(Cleaned_Data[[#This Row],[Rating]]="","Missing Rating","Has Rating")</f>
        <v>Missing Rating</v>
      </c>
      <c r="Q88" s="7">
        <f>IFERROR(
(Cleaned_Data[[#This Row],[Old Price]]-Cleaned_Data[[#This Row],[Current Price]])/Cleaned_Data[[#This Row],[Old Price]],
""
)</f>
        <v>0.11222222222222222</v>
      </c>
      <c r="R88" s="7" t="str">
        <f>IF( Cleaned_Data[[#This Row],[Discount]] -
 Cleaned_Data[[#This Row],[Calculated Discount]]&gt;2%,
"Check",
"OK"
)</f>
        <v>OK</v>
      </c>
      <c r="S88" t="str">
        <f>IF(OR(Cleaned_Data[[#This Row],[Rating]]&lt;0,Cleaned_Data[[#This Row],[Rating]]&gt;5),"Check rating","OK")</f>
        <v>OK</v>
      </c>
      <c r="T88" t="str">
        <f>IF(OR(Cleaned_Data[[#This Row],[Discount]]&lt;0,Cleaned_Data[[#This Row],[Discount]]&gt;1),"Check discount","OK")</f>
        <v>OK</v>
      </c>
      <c r="U88" t="str">
        <f>IF(Cleaned_Data[[#This Row],[Current Price]]&gt;Cleaned_Data[[#This Row],[Old Price]],"Check prices","OK")</f>
        <v>OK</v>
      </c>
    </row>
    <row r="89" spans="1:21">
      <c r="A89" t="s">
        <v>176</v>
      </c>
      <c r="B89" s="8">
        <v>657</v>
      </c>
      <c r="C89" s="8">
        <v>1288</v>
      </c>
      <c r="D89" s="7">
        <v>0.49</v>
      </c>
      <c r="G89">
        <f>Cleaned_Data[[#This Row],[Old Price]]-Cleaned_Data[[#This Row],[Current Price]]</f>
        <v>631</v>
      </c>
      <c r="H89" s="15" t="str">
        <f>IF(Cleaned_Data[[#This Row],[Rating]]="","Missing",IF(Cleaned_Data[[#This Row],[Rating]]&lt;3,"Poor",IF(Cleaned_Data[[#This Row],[Rating]]&lt;=4.5,"Average","Excellent")))</f>
        <v>Missing</v>
      </c>
      <c r="I89" s="15" t="str">
        <f>IF(
Cleaned_Data[[#This Row],[Discount]]="",
"Missing",
IF(
Cleaned_Data[[#This Row],[Discount]]&lt;20%,
"Low Discount",
IF(
Cleaned_Data[[#This Row],[Discount]]&lt;=40%,
"Medium Discount",
"High Discount"
)
)
)</f>
        <v>High Discount</v>
      </c>
      <c r="J89" s="15" t="str">
        <f>IF(
Cleaned_Data[[#This Row],[Current Price]]="",
"Missing",
IF(
Cleaned_Data[[#This Row],[Current Price]]&lt;=Analysis!$B$3,
"Low Price",
IF(
Cleaned_Data[[#This Row],[Current Price]]&lt;=Analysis!$B$4,
"Medium Price",
"High Price"
)
)
)</f>
        <v>Medium Price</v>
      </c>
      <c r="K89" s="15" t="str">
        <f>IF(Cleaned_Data[[#This Row],[Review]]="","Missing",IF(Cleaned_Data[[#This Row],[Review]]&gt;=Engagement_Threshold,"Strong Engagement","Weak Engagement"))</f>
        <v>Missing</v>
      </c>
      <c r="L89" s="15" t="str">
        <f>IF(OR(Cleaned_Data[[#This Row],[Discount]]="",Cleaned_Data[[#This Row],[Rating]]=""),"Missing",IF(AND(Cleaned_Data[[#This Row],[Discount Category]]="High Discount",Cleaned_Data[[#This Row],[Rating Category]]="Poor"),"Flag","OK"))</f>
        <v>Missing</v>
      </c>
      <c r="M89" s="15" t="str">
        <f>IF(OR(Cleaned_Data[[#This Row],[Discount]]="",Cleaned_Data[[#This Row],[Review]]=""),"Missing",IF(AND(Cleaned_Data[[#This Row],[Discount Category]]="High Discount",Cleaned_Data[[#This Row],[Engagement]]="Weak Engagement"),"Flag","OK"))</f>
        <v>Missing</v>
      </c>
      <c r="N89" s="15" t="str">
        <f>IF(OR(Cleaned_Data[[#This Row],[Review]]="",Cleaned_Data[[#This Row],[Rating]]=""),"Missing",IF(AND(Cleaned_Data[[#This Row],[Engagement]]="Strong Engagement",Cleaned_Data[[#This Row],[Rating Category]]="Average"),"Flag","OK"))</f>
        <v>Missing</v>
      </c>
      <c r="O89" s="15" t="str">
        <f>IF(OR(Cleaned_Data[[#This Row],[Review]]="",Cleaned_Data[[#This Row],[Rating]]=""),"Missing",IF(AND(Cleaned_Data[[#This Row],[Engagement]]="Strong Engagement",Cleaned_Data[[#This Row],[Rating Category]]="Excellent"),"Flag","OK"))</f>
        <v>Missing</v>
      </c>
      <c r="P89" s="15" t="str">
        <f>IF(Cleaned_Data[[#This Row],[Rating]]="","Missing Rating","Has Rating")</f>
        <v>Missing Rating</v>
      </c>
      <c r="Q89" s="7">
        <f>IFERROR(
(Cleaned_Data[[#This Row],[Old Price]]-Cleaned_Data[[#This Row],[Current Price]])/Cleaned_Data[[#This Row],[Old Price]],
""
)</f>
        <v>0.48990683229813664</v>
      </c>
      <c r="R89" s="7" t="str">
        <f>IF( Cleaned_Data[[#This Row],[Discount]] -
 Cleaned_Data[[#This Row],[Calculated Discount]]&gt;2%,
"Check",
"OK"
)</f>
        <v>OK</v>
      </c>
      <c r="S89" t="str">
        <f>IF(OR(Cleaned_Data[[#This Row],[Rating]]&lt;0,Cleaned_Data[[#This Row],[Rating]]&gt;5),"Check rating","OK")</f>
        <v>OK</v>
      </c>
      <c r="T89" t="str">
        <f>IF(OR(Cleaned_Data[[#This Row],[Discount]]&lt;0,Cleaned_Data[[#This Row],[Discount]]&gt;1),"Check discount","OK")</f>
        <v>OK</v>
      </c>
      <c r="U89" t="str">
        <f>IF(Cleaned_Data[[#This Row],[Current Price]]&gt;Cleaned_Data[[#This Row],[Old Price]],"Check prices","OK")</f>
        <v>OK</v>
      </c>
    </row>
    <row r="90" spans="1:21">
      <c r="A90" t="s">
        <v>265</v>
      </c>
      <c r="B90" s="8">
        <v>1468</v>
      </c>
      <c r="C90" s="8">
        <v>1699</v>
      </c>
      <c r="D90" s="7">
        <v>0.14000000000000001</v>
      </c>
      <c r="G90">
        <f>Cleaned_Data[[#This Row],[Old Price]]-Cleaned_Data[[#This Row],[Current Price]]</f>
        <v>231</v>
      </c>
      <c r="H90" s="15" t="str">
        <f>IF(Cleaned_Data[[#This Row],[Rating]]="","Missing",IF(Cleaned_Data[[#This Row],[Rating]]&lt;3,"Poor",IF(Cleaned_Data[[#This Row],[Rating]]&lt;=4.5,"Average","Excellent")))</f>
        <v>Missing</v>
      </c>
      <c r="I90" s="15" t="str">
        <f>IF(
Cleaned_Data[[#This Row],[Discount]]="",
"Missing",
IF(
Cleaned_Data[[#This Row],[Discount]]&lt;20%,
"Low Discount",
IF(
Cleaned_Data[[#This Row],[Discount]]&lt;=40%,
"Medium Discount",
"High Discount"
)
)
)</f>
        <v>Low Discount</v>
      </c>
      <c r="J90" s="15" t="str">
        <f>IF(
Cleaned_Data[[#This Row],[Current Price]]="",
"Missing",
IF(
Cleaned_Data[[#This Row],[Current Price]]&lt;=Analysis!$B$3,
"Low Price",
IF(
Cleaned_Data[[#This Row],[Current Price]]&lt;=Analysis!$B$4,
"Medium Price",
"High Price"
)
)
)</f>
        <v>Medium Price</v>
      </c>
      <c r="K90" s="15" t="str">
        <f>IF(Cleaned_Data[[#This Row],[Review]]="","Missing",IF(Cleaned_Data[[#This Row],[Review]]&gt;=Engagement_Threshold,"Strong Engagement","Weak Engagement"))</f>
        <v>Missing</v>
      </c>
      <c r="L90" s="15" t="str">
        <f>IF(OR(Cleaned_Data[[#This Row],[Discount]]="",Cleaned_Data[[#This Row],[Rating]]=""),"Missing",IF(AND(Cleaned_Data[[#This Row],[Discount Category]]="High Discount",Cleaned_Data[[#This Row],[Rating Category]]="Poor"),"Flag","OK"))</f>
        <v>Missing</v>
      </c>
      <c r="M90" s="15" t="str">
        <f>IF(OR(Cleaned_Data[[#This Row],[Discount]]="",Cleaned_Data[[#This Row],[Review]]=""),"Missing",IF(AND(Cleaned_Data[[#This Row],[Discount Category]]="High Discount",Cleaned_Data[[#This Row],[Engagement]]="Weak Engagement"),"Flag","OK"))</f>
        <v>Missing</v>
      </c>
      <c r="N90" s="15" t="str">
        <f>IF(OR(Cleaned_Data[[#This Row],[Review]]="",Cleaned_Data[[#This Row],[Rating]]=""),"Missing",IF(AND(Cleaned_Data[[#This Row],[Engagement]]="Strong Engagement",Cleaned_Data[[#This Row],[Rating Category]]="Average"),"Flag","OK"))</f>
        <v>Missing</v>
      </c>
      <c r="O90" s="15" t="str">
        <f>IF(OR(Cleaned_Data[[#This Row],[Review]]="",Cleaned_Data[[#This Row],[Rating]]=""),"Missing",IF(AND(Cleaned_Data[[#This Row],[Engagement]]="Strong Engagement",Cleaned_Data[[#This Row],[Rating Category]]="Excellent"),"Flag","OK"))</f>
        <v>Missing</v>
      </c>
      <c r="P90" s="15" t="str">
        <f>IF(Cleaned_Data[[#This Row],[Rating]]="","Missing Rating","Has Rating")</f>
        <v>Missing Rating</v>
      </c>
      <c r="Q90" s="7">
        <f>IFERROR(
(Cleaned_Data[[#This Row],[Old Price]]-Cleaned_Data[[#This Row],[Current Price]])/Cleaned_Data[[#This Row],[Old Price]],
""
)</f>
        <v>0.13596233078281342</v>
      </c>
      <c r="R90" s="7" t="str">
        <f>IF( Cleaned_Data[[#This Row],[Discount]] -
 Cleaned_Data[[#This Row],[Calculated Discount]]&gt;2%,
"Check",
"OK"
)</f>
        <v>OK</v>
      </c>
      <c r="S90" t="str">
        <f>IF(OR(Cleaned_Data[[#This Row],[Rating]]&lt;0,Cleaned_Data[[#This Row],[Rating]]&gt;5),"Check rating","OK")</f>
        <v>OK</v>
      </c>
      <c r="T90" t="str">
        <f>IF(OR(Cleaned_Data[[#This Row],[Discount]]&lt;0,Cleaned_Data[[#This Row],[Discount]]&gt;1),"Check discount","OK")</f>
        <v>OK</v>
      </c>
      <c r="U90" t="str">
        <f>IF(Cleaned_Data[[#This Row],[Current Price]]&gt;Cleaned_Data[[#This Row],[Old Price]],"Check prices","OK")</f>
        <v>OK</v>
      </c>
    </row>
    <row r="91" spans="1:21">
      <c r="A91" t="s">
        <v>267</v>
      </c>
      <c r="B91" s="8">
        <v>630</v>
      </c>
      <c r="C91" s="8">
        <v>1100</v>
      </c>
      <c r="D91" s="7">
        <v>0.43</v>
      </c>
      <c r="G91">
        <f>Cleaned_Data[[#This Row],[Old Price]]-Cleaned_Data[[#This Row],[Current Price]]</f>
        <v>470</v>
      </c>
      <c r="H91" s="15" t="str">
        <f>IF(Cleaned_Data[[#This Row],[Rating]]="","Missing",IF(Cleaned_Data[[#This Row],[Rating]]&lt;3,"Poor",IF(Cleaned_Data[[#This Row],[Rating]]&lt;=4.5,"Average","Excellent")))</f>
        <v>Missing</v>
      </c>
      <c r="I91" s="15" t="str">
        <f>IF(
Cleaned_Data[[#This Row],[Discount]]="",
"Missing",
IF(
Cleaned_Data[[#This Row],[Discount]]&lt;20%,
"Low Discount",
IF(
Cleaned_Data[[#This Row],[Discount]]&lt;=40%,
"Medium Discount",
"High Discount"
)
)
)</f>
        <v>High Discount</v>
      </c>
      <c r="J91" s="15" t="str">
        <f>IF(
Cleaned_Data[[#This Row],[Current Price]]="",
"Missing",
IF(
Cleaned_Data[[#This Row],[Current Price]]&lt;=Analysis!$B$3,
"Low Price",
IF(
Cleaned_Data[[#This Row],[Current Price]]&lt;=Analysis!$B$4,
"Medium Price",
"High Price"
)
)
)</f>
        <v>Medium Price</v>
      </c>
      <c r="K91" s="15" t="str">
        <f>IF(Cleaned_Data[[#This Row],[Review]]="","Missing",IF(Cleaned_Data[[#This Row],[Review]]&gt;=Engagement_Threshold,"Strong Engagement","Weak Engagement"))</f>
        <v>Missing</v>
      </c>
      <c r="L91" s="15" t="str">
        <f>IF(OR(Cleaned_Data[[#This Row],[Discount]]="",Cleaned_Data[[#This Row],[Rating]]=""),"Missing",IF(AND(Cleaned_Data[[#This Row],[Discount Category]]="High Discount",Cleaned_Data[[#This Row],[Rating Category]]="Poor"),"Flag","OK"))</f>
        <v>Missing</v>
      </c>
      <c r="M91" s="15" t="str">
        <f>IF(OR(Cleaned_Data[[#This Row],[Discount]]="",Cleaned_Data[[#This Row],[Review]]=""),"Missing",IF(AND(Cleaned_Data[[#This Row],[Discount Category]]="High Discount",Cleaned_Data[[#This Row],[Engagement]]="Weak Engagement"),"Flag","OK"))</f>
        <v>Missing</v>
      </c>
      <c r="N91" s="15" t="str">
        <f>IF(OR(Cleaned_Data[[#This Row],[Review]]="",Cleaned_Data[[#This Row],[Rating]]=""),"Missing",IF(AND(Cleaned_Data[[#This Row],[Engagement]]="Strong Engagement",Cleaned_Data[[#This Row],[Rating Category]]="Average"),"Flag","OK"))</f>
        <v>Missing</v>
      </c>
      <c r="O91" s="15" t="str">
        <f>IF(OR(Cleaned_Data[[#This Row],[Review]]="",Cleaned_Data[[#This Row],[Rating]]=""),"Missing",IF(AND(Cleaned_Data[[#This Row],[Engagement]]="Strong Engagement",Cleaned_Data[[#This Row],[Rating Category]]="Excellent"),"Flag","OK"))</f>
        <v>Missing</v>
      </c>
      <c r="P91" s="15" t="str">
        <f>IF(Cleaned_Data[[#This Row],[Rating]]="","Missing Rating","Has Rating")</f>
        <v>Missing Rating</v>
      </c>
      <c r="Q91" s="7">
        <f>IFERROR(
(Cleaned_Data[[#This Row],[Old Price]]-Cleaned_Data[[#This Row],[Current Price]])/Cleaned_Data[[#This Row],[Old Price]],
""
)</f>
        <v>0.42727272727272725</v>
      </c>
      <c r="R91" s="7" t="str">
        <f>IF( Cleaned_Data[[#This Row],[Discount]] -
 Cleaned_Data[[#This Row],[Calculated Discount]]&gt;2%,
"Check",
"OK"
)</f>
        <v>OK</v>
      </c>
      <c r="S91" t="str">
        <f>IF(OR(Cleaned_Data[[#This Row],[Rating]]&lt;0,Cleaned_Data[[#This Row],[Rating]]&gt;5),"Check rating","OK")</f>
        <v>OK</v>
      </c>
      <c r="T91" t="str">
        <f>IF(OR(Cleaned_Data[[#This Row],[Discount]]&lt;0,Cleaned_Data[[#This Row],[Discount]]&gt;1),"Check discount","OK")</f>
        <v>OK</v>
      </c>
      <c r="U91" t="str">
        <f>IF(Cleaned_Data[[#This Row],[Current Price]]&gt;Cleaned_Data[[#This Row],[Old Price]],"Check prices","OK")</f>
        <v>OK</v>
      </c>
    </row>
    <row r="92" spans="1:21">
      <c r="A92" t="s">
        <v>270</v>
      </c>
      <c r="B92" s="8">
        <v>850</v>
      </c>
      <c r="C92" s="8">
        <v>1700</v>
      </c>
      <c r="D92" s="7">
        <v>0.5</v>
      </c>
      <c r="G92">
        <f>Cleaned_Data[[#This Row],[Old Price]]-Cleaned_Data[[#This Row],[Current Price]]</f>
        <v>850</v>
      </c>
      <c r="H92" s="15" t="str">
        <f>IF(Cleaned_Data[[#This Row],[Rating]]="","Missing",IF(Cleaned_Data[[#This Row],[Rating]]&lt;3,"Poor",IF(Cleaned_Data[[#This Row],[Rating]]&lt;=4.5,"Average","Excellent")))</f>
        <v>Missing</v>
      </c>
      <c r="I92" s="15" t="str">
        <f>IF(
Cleaned_Data[[#This Row],[Discount]]="",
"Missing",
IF(
Cleaned_Data[[#This Row],[Discount]]&lt;20%,
"Low Discount",
IF(
Cleaned_Data[[#This Row],[Discount]]&lt;=40%,
"Medium Discount",
"High Discount"
)
)
)</f>
        <v>High Discount</v>
      </c>
      <c r="J92" s="15" t="str">
        <f>IF(
Cleaned_Data[[#This Row],[Current Price]]="",
"Missing",
IF(
Cleaned_Data[[#This Row],[Current Price]]&lt;=Analysis!$B$3,
"Low Price",
IF(
Cleaned_Data[[#This Row],[Current Price]]&lt;=Analysis!$B$4,
"Medium Price",
"High Price"
)
)
)</f>
        <v>Medium Price</v>
      </c>
      <c r="K92" s="15" t="str">
        <f>IF(Cleaned_Data[[#This Row],[Review]]="","Missing",IF(Cleaned_Data[[#This Row],[Review]]&gt;=Engagement_Threshold,"Strong Engagement","Weak Engagement"))</f>
        <v>Missing</v>
      </c>
      <c r="L92" s="15" t="str">
        <f>IF(OR(Cleaned_Data[[#This Row],[Discount]]="",Cleaned_Data[[#This Row],[Rating]]=""),"Missing",IF(AND(Cleaned_Data[[#This Row],[Discount Category]]="High Discount",Cleaned_Data[[#This Row],[Rating Category]]="Poor"),"Flag","OK"))</f>
        <v>Missing</v>
      </c>
      <c r="M92" s="15" t="str">
        <f>IF(OR(Cleaned_Data[[#This Row],[Discount]]="",Cleaned_Data[[#This Row],[Review]]=""),"Missing",IF(AND(Cleaned_Data[[#This Row],[Discount Category]]="High Discount",Cleaned_Data[[#This Row],[Engagement]]="Weak Engagement"),"Flag","OK"))</f>
        <v>Missing</v>
      </c>
      <c r="N92" s="15" t="str">
        <f>IF(OR(Cleaned_Data[[#This Row],[Review]]="",Cleaned_Data[[#This Row],[Rating]]=""),"Missing",IF(AND(Cleaned_Data[[#This Row],[Engagement]]="Strong Engagement",Cleaned_Data[[#This Row],[Rating Category]]="Average"),"Flag","OK"))</f>
        <v>Missing</v>
      </c>
      <c r="O92" s="15" t="str">
        <f>IF(OR(Cleaned_Data[[#This Row],[Review]]="",Cleaned_Data[[#This Row],[Rating]]=""),"Missing",IF(AND(Cleaned_Data[[#This Row],[Engagement]]="Strong Engagement",Cleaned_Data[[#This Row],[Rating Category]]="Excellent"),"Flag","OK"))</f>
        <v>Missing</v>
      </c>
      <c r="P92" s="15" t="str">
        <f>IF(Cleaned_Data[[#This Row],[Rating]]="","Missing Rating","Has Rating")</f>
        <v>Missing Rating</v>
      </c>
      <c r="Q92" s="7">
        <f>IFERROR(
(Cleaned_Data[[#This Row],[Old Price]]-Cleaned_Data[[#This Row],[Current Price]])/Cleaned_Data[[#This Row],[Old Price]],
""
)</f>
        <v>0.5</v>
      </c>
      <c r="R92" s="7" t="str">
        <f>IF( Cleaned_Data[[#This Row],[Discount]] -
 Cleaned_Data[[#This Row],[Calculated Discount]]&gt;2%,
"Check",
"OK"
)</f>
        <v>OK</v>
      </c>
      <c r="S92" t="str">
        <f>IF(OR(Cleaned_Data[[#This Row],[Rating]]&lt;0,Cleaned_Data[[#This Row],[Rating]]&gt;5),"Check rating","OK")</f>
        <v>OK</v>
      </c>
      <c r="T92" t="str">
        <f>IF(OR(Cleaned_Data[[#This Row],[Discount]]&lt;0,Cleaned_Data[[#This Row],[Discount]]&gt;1),"Check discount","OK")</f>
        <v>OK</v>
      </c>
      <c r="U92" t="str">
        <f>IF(Cleaned_Data[[#This Row],[Current Price]]&gt;Cleaned_Data[[#This Row],[Old Price]],"Check prices","OK")</f>
        <v>OK</v>
      </c>
    </row>
    <row r="93" spans="1:21">
      <c r="A93" t="s">
        <v>273</v>
      </c>
      <c r="B93" s="8">
        <v>1300</v>
      </c>
      <c r="C93" s="8">
        <v>2500</v>
      </c>
      <c r="D93" s="7">
        <v>0.48</v>
      </c>
      <c r="G93">
        <f>Cleaned_Data[[#This Row],[Old Price]]-Cleaned_Data[[#This Row],[Current Price]]</f>
        <v>1200</v>
      </c>
      <c r="H93" s="15" t="str">
        <f>IF(Cleaned_Data[[#This Row],[Rating]]="","Missing",IF(Cleaned_Data[[#This Row],[Rating]]&lt;3,"Poor",IF(Cleaned_Data[[#This Row],[Rating]]&lt;=4.5,"Average","Excellent")))</f>
        <v>Missing</v>
      </c>
      <c r="I93" s="15" t="str">
        <f>IF(
Cleaned_Data[[#This Row],[Discount]]="",
"Missing",
IF(
Cleaned_Data[[#This Row],[Discount]]&lt;20%,
"Low Discount",
IF(
Cleaned_Data[[#This Row],[Discount]]&lt;=40%,
"Medium Discount",
"High Discount"
)
)
)</f>
        <v>High Discount</v>
      </c>
      <c r="J93" s="15" t="str">
        <f>IF(
Cleaned_Data[[#This Row],[Current Price]]="",
"Missing",
IF(
Cleaned_Data[[#This Row],[Current Price]]&lt;=Analysis!$B$3,
"Low Price",
IF(
Cleaned_Data[[#This Row],[Current Price]]&lt;=Analysis!$B$4,
"Medium Price",
"High Price"
)
)
)</f>
        <v>Medium Price</v>
      </c>
      <c r="K93" s="15" t="str">
        <f>IF(Cleaned_Data[[#This Row],[Review]]="","Missing",IF(Cleaned_Data[[#This Row],[Review]]&gt;=Engagement_Threshold,"Strong Engagement","Weak Engagement"))</f>
        <v>Missing</v>
      </c>
      <c r="L93" s="15" t="str">
        <f>IF(OR(Cleaned_Data[[#This Row],[Discount]]="",Cleaned_Data[[#This Row],[Rating]]=""),"Missing",IF(AND(Cleaned_Data[[#This Row],[Discount Category]]="High Discount",Cleaned_Data[[#This Row],[Rating Category]]="Poor"),"Flag","OK"))</f>
        <v>Missing</v>
      </c>
      <c r="M93" s="15" t="str">
        <f>IF(OR(Cleaned_Data[[#This Row],[Discount]]="",Cleaned_Data[[#This Row],[Review]]=""),"Missing",IF(AND(Cleaned_Data[[#This Row],[Discount Category]]="High Discount",Cleaned_Data[[#This Row],[Engagement]]="Weak Engagement"),"Flag","OK"))</f>
        <v>Missing</v>
      </c>
      <c r="N93" s="15" t="str">
        <f>IF(OR(Cleaned_Data[[#This Row],[Review]]="",Cleaned_Data[[#This Row],[Rating]]=""),"Missing",IF(AND(Cleaned_Data[[#This Row],[Engagement]]="Strong Engagement",Cleaned_Data[[#This Row],[Rating Category]]="Average"),"Flag","OK"))</f>
        <v>Missing</v>
      </c>
      <c r="O93" s="15" t="str">
        <f>IF(OR(Cleaned_Data[[#This Row],[Review]]="",Cleaned_Data[[#This Row],[Rating]]=""),"Missing",IF(AND(Cleaned_Data[[#This Row],[Engagement]]="Strong Engagement",Cleaned_Data[[#This Row],[Rating Category]]="Excellent"),"Flag","OK"))</f>
        <v>Missing</v>
      </c>
      <c r="P93" s="15" t="str">
        <f>IF(Cleaned_Data[[#This Row],[Rating]]="","Missing Rating","Has Rating")</f>
        <v>Missing Rating</v>
      </c>
      <c r="Q93" s="7">
        <f>IFERROR(
(Cleaned_Data[[#This Row],[Old Price]]-Cleaned_Data[[#This Row],[Current Price]])/Cleaned_Data[[#This Row],[Old Price]],
""
)</f>
        <v>0.48</v>
      </c>
      <c r="R93" s="7" t="str">
        <f>IF( Cleaned_Data[[#This Row],[Discount]] -
 Cleaned_Data[[#This Row],[Calculated Discount]]&gt;2%,
"Check",
"OK"
)</f>
        <v>OK</v>
      </c>
      <c r="S93" t="str">
        <f>IF(OR(Cleaned_Data[[#This Row],[Rating]]&lt;0,Cleaned_Data[[#This Row],[Rating]]&gt;5),"Check rating","OK")</f>
        <v>OK</v>
      </c>
      <c r="T93" t="str">
        <f>IF(OR(Cleaned_Data[[#This Row],[Discount]]&lt;0,Cleaned_Data[[#This Row],[Discount]]&gt;1),"Check discount","OK")</f>
        <v>OK</v>
      </c>
      <c r="U93" t="str">
        <f>IF(Cleaned_Data[[#This Row],[Current Price]]&gt;Cleaned_Data[[#This Row],[Old Price]],"Check prices","OK")</f>
        <v>OK</v>
      </c>
    </row>
    <row r="94" spans="1:21">
      <c r="A94" t="s">
        <v>275</v>
      </c>
      <c r="B94" s="8">
        <v>105</v>
      </c>
      <c r="C94" s="8">
        <v>200</v>
      </c>
      <c r="D94" s="7">
        <v>0.48</v>
      </c>
      <c r="G94">
        <f>Cleaned_Data[[#This Row],[Old Price]]-Cleaned_Data[[#This Row],[Current Price]]</f>
        <v>95</v>
      </c>
      <c r="H94" s="15" t="str">
        <f>IF(Cleaned_Data[[#This Row],[Rating]]="","Missing",IF(Cleaned_Data[[#This Row],[Rating]]&lt;3,"Poor",IF(Cleaned_Data[[#This Row],[Rating]]&lt;=4.5,"Average","Excellent")))</f>
        <v>Missing</v>
      </c>
      <c r="I94" s="15" t="str">
        <f>IF(
Cleaned_Data[[#This Row],[Discount]]="",
"Missing",
IF(
Cleaned_Data[[#This Row],[Discount]]&lt;20%,
"Low Discount",
IF(
Cleaned_Data[[#This Row],[Discount]]&lt;=40%,
"Medium Discount",
"High Discount"
)
)
)</f>
        <v>High Discount</v>
      </c>
      <c r="J94" s="15" t="str">
        <f>IF(
Cleaned_Data[[#This Row],[Current Price]]="",
"Missing",
IF(
Cleaned_Data[[#This Row],[Current Price]]&lt;=Analysis!$B$3,
"Low Price",
IF(
Cleaned_Data[[#This Row],[Current Price]]&lt;=Analysis!$B$4,
"Medium Price",
"High Price"
)
)
)</f>
        <v>Low Price</v>
      </c>
      <c r="K94" s="15" t="str">
        <f>IF(Cleaned_Data[[#This Row],[Review]]="","Missing",IF(Cleaned_Data[[#This Row],[Review]]&gt;=Engagement_Threshold,"Strong Engagement","Weak Engagement"))</f>
        <v>Missing</v>
      </c>
      <c r="L94" s="15" t="str">
        <f>IF(OR(Cleaned_Data[[#This Row],[Discount]]="",Cleaned_Data[[#This Row],[Rating]]=""),"Missing",IF(AND(Cleaned_Data[[#This Row],[Discount Category]]="High Discount",Cleaned_Data[[#This Row],[Rating Category]]="Poor"),"Flag","OK"))</f>
        <v>Missing</v>
      </c>
      <c r="M94" s="15" t="str">
        <f>IF(OR(Cleaned_Data[[#This Row],[Discount]]="",Cleaned_Data[[#This Row],[Review]]=""),"Missing",IF(AND(Cleaned_Data[[#This Row],[Discount Category]]="High Discount",Cleaned_Data[[#This Row],[Engagement]]="Weak Engagement"),"Flag","OK"))</f>
        <v>Missing</v>
      </c>
      <c r="N94" s="15" t="str">
        <f>IF(OR(Cleaned_Data[[#This Row],[Review]]="",Cleaned_Data[[#This Row],[Rating]]=""),"Missing",IF(AND(Cleaned_Data[[#This Row],[Engagement]]="Strong Engagement",Cleaned_Data[[#This Row],[Rating Category]]="Average"),"Flag","OK"))</f>
        <v>Missing</v>
      </c>
      <c r="O94" s="15" t="str">
        <f>IF(OR(Cleaned_Data[[#This Row],[Review]]="",Cleaned_Data[[#This Row],[Rating]]=""),"Missing",IF(AND(Cleaned_Data[[#This Row],[Engagement]]="Strong Engagement",Cleaned_Data[[#This Row],[Rating Category]]="Excellent"),"Flag","OK"))</f>
        <v>Missing</v>
      </c>
      <c r="P94" s="15" t="str">
        <f>IF(Cleaned_Data[[#This Row],[Rating]]="","Missing Rating","Has Rating")</f>
        <v>Missing Rating</v>
      </c>
      <c r="Q94" s="7">
        <f>IFERROR(
(Cleaned_Data[[#This Row],[Old Price]]-Cleaned_Data[[#This Row],[Current Price]])/Cleaned_Data[[#This Row],[Old Price]],
""
)</f>
        <v>0.47499999999999998</v>
      </c>
      <c r="R94" s="7" t="str">
        <f>IF( Cleaned_Data[[#This Row],[Discount]] -
 Cleaned_Data[[#This Row],[Calculated Discount]]&gt;2%,
"Check",
"OK"
)</f>
        <v>OK</v>
      </c>
      <c r="S94" t="str">
        <f>IF(OR(Cleaned_Data[[#This Row],[Rating]]&lt;0,Cleaned_Data[[#This Row],[Rating]]&gt;5),"Check rating","OK")</f>
        <v>OK</v>
      </c>
      <c r="T94" t="str">
        <f>IF(OR(Cleaned_Data[[#This Row],[Discount]]&lt;0,Cleaned_Data[[#This Row],[Discount]]&gt;1),"Check discount","OK")</f>
        <v>OK</v>
      </c>
      <c r="U94" t="str">
        <f>IF(Cleaned_Data[[#This Row],[Current Price]]&gt;Cleaned_Data[[#This Row],[Old Price]],"Check prices","OK")</f>
        <v>OK</v>
      </c>
    </row>
    <row r="95" spans="1:21">
      <c r="A95" t="s">
        <v>278</v>
      </c>
      <c r="B95" s="8">
        <v>899</v>
      </c>
      <c r="C95" s="8">
        <v>1699</v>
      </c>
      <c r="D95" s="7">
        <v>0.47</v>
      </c>
      <c r="G95">
        <f>Cleaned_Data[[#This Row],[Old Price]]-Cleaned_Data[[#This Row],[Current Price]]</f>
        <v>800</v>
      </c>
      <c r="H95" s="15" t="str">
        <f>IF(Cleaned_Data[[#This Row],[Rating]]="","Missing",IF(Cleaned_Data[[#This Row],[Rating]]&lt;3,"Poor",IF(Cleaned_Data[[#This Row],[Rating]]&lt;=4.5,"Average","Excellent")))</f>
        <v>Missing</v>
      </c>
      <c r="I95" s="15" t="str">
        <f>IF(
Cleaned_Data[[#This Row],[Discount]]="",
"Missing",
IF(
Cleaned_Data[[#This Row],[Discount]]&lt;20%,
"Low Discount",
IF(
Cleaned_Data[[#This Row],[Discount]]&lt;=40%,
"Medium Discount",
"High Discount"
)
)
)</f>
        <v>High Discount</v>
      </c>
      <c r="J95" s="15" t="str">
        <f>IF(
Cleaned_Data[[#This Row],[Current Price]]="",
"Missing",
IF(
Cleaned_Data[[#This Row],[Current Price]]&lt;=Analysis!$B$3,
"Low Price",
IF(
Cleaned_Data[[#This Row],[Current Price]]&lt;=Analysis!$B$4,
"Medium Price",
"High Price"
)
)
)</f>
        <v>Medium Price</v>
      </c>
      <c r="K95" s="15" t="str">
        <f>IF(Cleaned_Data[[#This Row],[Review]]="","Missing",IF(Cleaned_Data[[#This Row],[Review]]&gt;=Engagement_Threshold,"Strong Engagement","Weak Engagement"))</f>
        <v>Missing</v>
      </c>
      <c r="L95" s="15" t="str">
        <f>IF(OR(Cleaned_Data[[#This Row],[Discount]]="",Cleaned_Data[[#This Row],[Rating]]=""),"Missing",IF(AND(Cleaned_Data[[#This Row],[Discount Category]]="High Discount",Cleaned_Data[[#This Row],[Rating Category]]="Poor"),"Flag","OK"))</f>
        <v>Missing</v>
      </c>
      <c r="M95" s="15" t="str">
        <f>IF(OR(Cleaned_Data[[#This Row],[Discount]]="",Cleaned_Data[[#This Row],[Review]]=""),"Missing",IF(AND(Cleaned_Data[[#This Row],[Discount Category]]="High Discount",Cleaned_Data[[#This Row],[Engagement]]="Weak Engagement"),"Flag","OK"))</f>
        <v>Missing</v>
      </c>
      <c r="N95" s="15" t="str">
        <f>IF(OR(Cleaned_Data[[#This Row],[Review]]="",Cleaned_Data[[#This Row],[Rating]]=""),"Missing",IF(AND(Cleaned_Data[[#This Row],[Engagement]]="Strong Engagement",Cleaned_Data[[#This Row],[Rating Category]]="Average"),"Flag","OK"))</f>
        <v>Missing</v>
      </c>
      <c r="O95" s="15" t="str">
        <f>IF(OR(Cleaned_Data[[#This Row],[Review]]="",Cleaned_Data[[#This Row],[Rating]]=""),"Missing",IF(AND(Cleaned_Data[[#This Row],[Engagement]]="Strong Engagement",Cleaned_Data[[#This Row],[Rating Category]]="Excellent"),"Flag","OK"))</f>
        <v>Missing</v>
      </c>
      <c r="P95" s="15" t="str">
        <f>IF(Cleaned_Data[[#This Row],[Rating]]="","Missing Rating","Has Rating")</f>
        <v>Missing Rating</v>
      </c>
      <c r="Q95" s="7">
        <f>IFERROR(
(Cleaned_Data[[#This Row],[Old Price]]-Cleaned_Data[[#This Row],[Current Price]])/Cleaned_Data[[#This Row],[Old Price]],
""
)</f>
        <v>0.47086521483225424</v>
      </c>
      <c r="R95" s="7" t="str">
        <f>IF( Cleaned_Data[[#This Row],[Discount]] -
 Cleaned_Data[[#This Row],[Calculated Discount]]&gt;2%,
"Check",
"OK"
)</f>
        <v>OK</v>
      </c>
      <c r="S95" t="str">
        <f>IF(OR(Cleaned_Data[[#This Row],[Rating]]&lt;0,Cleaned_Data[[#This Row],[Rating]]&gt;5),"Check rating","OK")</f>
        <v>OK</v>
      </c>
      <c r="T95" t="str">
        <f>IF(OR(Cleaned_Data[[#This Row],[Discount]]&lt;0,Cleaned_Data[[#This Row],[Discount]]&gt;1),"Check discount","OK")</f>
        <v>OK</v>
      </c>
      <c r="U95" t="str">
        <f>IF(Cleaned_Data[[#This Row],[Current Price]]&gt;Cleaned_Data[[#This Row],[Old Price]],"Check prices","OK")</f>
        <v>OK</v>
      </c>
    </row>
    <row r="96" spans="1:21">
      <c r="A96" t="s">
        <v>279</v>
      </c>
      <c r="B96" s="8">
        <v>1200</v>
      </c>
      <c r="C96" s="8">
        <v>2400</v>
      </c>
      <c r="D96" s="7">
        <v>0.5</v>
      </c>
      <c r="G96">
        <f>Cleaned_Data[[#This Row],[Old Price]]-Cleaned_Data[[#This Row],[Current Price]]</f>
        <v>1200</v>
      </c>
      <c r="H96" s="15" t="str">
        <f>IF(Cleaned_Data[[#This Row],[Rating]]="","Missing",IF(Cleaned_Data[[#This Row],[Rating]]&lt;3,"Poor",IF(Cleaned_Data[[#This Row],[Rating]]&lt;=4.5,"Average","Excellent")))</f>
        <v>Missing</v>
      </c>
      <c r="I96" s="15" t="str">
        <f>IF(
Cleaned_Data[[#This Row],[Discount]]="",
"Missing",
IF(
Cleaned_Data[[#This Row],[Discount]]&lt;20%,
"Low Discount",
IF(
Cleaned_Data[[#This Row],[Discount]]&lt;=40%,
"Medium Discount",
"High Discount"
)
)
)</f>
        <v>High Discount</v>
      </c>
      <c r="J96" s="15" t="str">
        <f>IF(
Cleaned_Data[[#This Row],[Current Price]]="",
"Missing",
IF(
Cleaned_Data[[#This Row],[Current Price]]&lt;=Analysis!$B$3,
"Low Price",
IF(
Cleaned_Data[[#This Row],[Current Price]]&lt;=Analysis!$B$4,
"Medium Price",
"High Price"
)
)
)</f>
        <v>Medium Price</v>
      </c>
      <c r="K96" s="15" t="str">
        <f>IF(Cleaned_Data[[#This Row],[Review]]="","Missing",IF(Cleaned_Data[[#This Row],[Review]]&gt;=Engagement_Threshold,"Strong Engagement","Weak Engagement"))</f>
        <v>Missing</v>
      </c>
      <c r="L96" s="15" t="str">
        <f>IF(OR(Cleaned_Data[[#This Row],[Discount]]="",Cleaned_Data[[#This Row],[Rating]]=""),"Missing",IF(AND(Cleaned_Data[[#This Row],[Discount Category]]="High Discount",Cleaned_Data[[#This Row],[Rating Category]]="Poor"),"Flag","OK"))</f>
        <v>Missing</v>
      </c>
      <c r="M96" s="15" t="str">
        <f>IF(OR(Cleaned_Data[[#This Row],[Discount]]="",Cleaned_Data[[#This Row],[Review]]=""),"Missing",IF(AND(Cleaned_Data[[#This Row],[Discount Category]]="High Discount",Cleaned_Data[[#This Row],[Engagement]]="Weak Engagement"),"Flag","OK"))</f>
        <v>Missing</v>
      </c>
      <c r="N96" s="15" t="str">
        <f>IF(OR(Cleaned_Data[[#This Row],[Review]]="",Cleaned_Data[[#This Row],[Rating]]=""),"Missing",IF(AND(Cleaned_Data[[#This Row],[Engagement]]="Strong Engagement",Cleaned_Data[[#This Row],[Rating Category]]="Average"),"Flag","OK"))</f>
        <v>Missing</v>
      </c>
      <c r="O96" s="15" t="str">
        <f>IF(OR(Cleaned_Data[[#This Row],[Review]]="",Cleaned_Data[[#This Row],[Rating]]=""),"Missing",IF(AND(Cleaned_Data[[#This Row],[Engagement]]="Strong Engagement",Cleaned_Data[[#This Row],[Rating Category]]="Excellent"),"Flag","OK"))</f>
        <v>Missing</v>
      </c>
      <c r="P96" s="15" t="str">
        <f>IF(Cleaned_Data[[#This Row],[Rating]]="","Missing Rating","Has Rating")</f>
        <v>Missing Rating</v>
      </c>
      <c r="Q96" s="7">
        <f>IFERROR(
(Cleaned_Data[[#This Row],[Old Price]]-Cleaned_Data[[#This Row],[Current Price]])/Cleaned_Data[[#This Row],[Old Price]],
""
)</f>
        <v>0.5</v>
      </c>
      <c r="R96" s="7" t="str">
        <f>IF( Cleaned_Data[[#This Row],[Discount]] -
 Cleaned_Data[[#This Row],[Calculated Discount]]&gt;2%,
"Check",
"OK"
)</f>
        <v>OK</v>
      </c>
      <c r="S96" t="str">
        <f>IF(OR(Cleaned_Data[[#This Row],[Rating]]&lt;0,Cleaned_Data[[#This Row],[Rating]]&gt;5),"Check rating","OK")</f>
        <v>OK</v>
      </c>
      <c r="T96" t="str">
        <f>IF(OR(Cleaned_Data[[#This Row],[Discount]]&lt;0,Cleaned_Data[[#This Row],[Discount]]&gt;1),"Check discount","OK")</f>
        <v>OK</v>
      </c>
      <c r="U96" t="str">
        <f>IF(Cleaned_Data[[#This Row],[Current Price]]&gt;Cleaned_Data[[#This Row],[Old Price]],"Check prices","OK")</f>
        <v>OK</v>
      </c>
    </row>
    <row r="97" spans="1:21">
      <c r="A97" t="s">
        <v>281</v>
      </c>
      <c r="B97" s="8">
        <v>1526</v>
      </c>
      <c r="C97" s="8">
        <v>1660</v>
      </c>
      <c r="D97" s="7">
        <v>0.08</v>
      </c>
      <c r="G97">
        <f>Cleaned_Data[[#This Row],[Old Price]]-Cleaned_Data[[#This Row],[Current Price]]</f>
        <v>134</v>
      </c>
      <c r="H97" s="15" t="str">
        <f>IF(Cleaned_Data[[#This Row],[Rating]]="","Missing",IF(Cleaned_Data[[#This Row],[Rating]]&lt;3,"Poor",IF(Cleaned_Data[[#This Row],[Rating]]&lt;=4.5,"Average","Excellent")))</f>
        <v>Missing</v>
      </c>
      <c r="I97" s="15" t="str">
        <f>IF(
Cleaned_Data[[#This Row],[Discount]]="",
"Missing",
IF(
Cleaned_Data[[#This Row],[Discount]]&lt;20%,
"Low Discount",
IF(
Cleaned_Data[[#This Row],[Discount]]&lt;=40%,
"Medium Discount",
"High Discount"
)
)
)</f>
        <v>Low Discount</v>
      </c>
      <c r="J97" s="15" t="str">
        <f>IF(
Cleaned_Data[[#This Row],[Current Price]]="",
"Missing",
IF(
Cleaned_Data[[#This Row],[Current Price]]&lt;=Analysis!$B$3,
"Low Price",
IF(
Cleaned_Data[[#This Row],[Current Price]]&lt;=Analysis!$B$4,
"Medium Price",
"High Price"
)
)
)</f>
        <v>Medium Price</v>
      </c>
      <c r="K97" s="15" t="str">
        <f>IF(Cleaned_Data[[#This Row],[Review]]="","Missing",IF(Cleaned_Data[[#This Row],[Review]]&gt;=Engagement_Threshold,"Strong Engagement","Weak Engagement"))</f>
        <v>Missing</v>
      </c>
      <c r="L97" s="15" t="str">
        <f>IF(OR(Cleaned_Data[[#This Row],[Discount]]="",Cleaned_Data[[#This Row],[Rating]]=""),"Missing",IF(AND(Cleaned_Data[[#This Row],[Discount Category]]="High Discount",Cleaned_Data[[#This Row],[Rating Category]]="Poor"),"Flag","OK"))</f>
        <v>Missing</v>
      </c>
      <c r="M97" s="15" t="str">
        <f>IF(OR(Cleaned_Data[[#This Row],[Discount]]="",Cleaned_Data[[#This Row],[Review]]=""),"Missing",IF(AND(Cleaned_Data[[#This Row],[Discount Category]]="High Discount",Cleaned_Data[[#This Row],[Engagement]]="Weak Engagement"),"Flag","OK"))</f>
        <v>Missing</v>
      </c>
      <c r="N97" s="15" t="str">
        <f>IF(OR(Cleaned_Data[[#This Row],[Review]]="",Cleaned_Data[[#This Row],[Rating]]=""),"Missing",IF(AND(Cleaned_Data[[#This Row],[Engagement]]="Strong Engagement",Cleaned_Data[[#This Row],[Rating Category]]="Average"),"Flag","OK"))</f>
        <v>Missing</v>
      </c>
      <c r="O97" s="15" t="str">
        <f>IF(OR(Cleaned_Data[[#This Row],[Review]]="",Cleaned_Data[[#This Row],[Rating]]=""),"Missing",IF(AND(Cleaned_Data[[#This Row],[Engagement]]="Strong Engagement",Cleaned_Data[[#This Row],[Rating Category]]="Excellent"),"Flag","OK"))</f>
        <v>Missing</v>
      </c>
      <c r="P97" s="15" t="str">
        <f>IF(Cleaned_Data[[#This Row],[Rating]]="","Missing Rating","Has Rating")</f>
        <v>Missing Rating</v>
      </c>
      <c r="Q97" s="7">
        <f>IFERROR(
(Cleaned_Data[[#This Row],[Old Price]]-Cleaned_Data[[#This Row],[Current Price]])/Cleaned_Data[[#This Row],[Old Price]],
""
)</f>
        <v>8.0722891566265054E-2</v>
      </c>
      <c r="R97" s="7" t="str">
        <f>IF( Cleaned_Data[[#This Row],[Discount]] -
 Cleaned_Data[[#This Row],[Calculated Discount]]&gt;2%,
"Check",
"OK"
)</f>
        <v>OK</v>
      </c>
      <c r="S97" t="str">
        <f>IF(OR(Cleaned_Data[[#This Row],[Rating]]&lt;0,Cleaned_Data[[#This Row],[Rating]]&gt;5),"Check rating","OK")</f>
        <v>OK</v>
      </c>
      <c r="T97" t="str">
        <f>IF(OR(Cleaned_Data[[#This Row],[Discount]]&lt;0,Cleaned_Data[[#This Row],[Discount]]&gt;1),"Check discount","OK")</f>
        <v>OK</v>
      </c>
      <c r="U97" t="str">
        <f>IF(Cleaned_Data[[#This Row],[Current Price]]&gt;Cleaned_Data[[#This Row],[Old Price]],"Check prices","OK")</f>
        <v>OK</v>
      </c>
    </row>
    <row r="98" spans="1:21">
      <c r="A98" t="s">
        <v>283</v>
      </c>
      <c r="B98" s="8">
        <v>1462</v>
      </c>
      <c r="C98" s="8">
        <v>1499</v>
      </c>
      <c r="D98" s="7">
        <v>0.02</v>
      </c>
      <c r="G98">
        <f>Cleaned_Data[[#This Row],[Old Price]]-Cleaned_Data[[#This Row],[Current Price]]</f>
        <v>37</v>
      </c>
      <c r="H98" s="15" t="str">
        <f>IF(Cleaned_Data[[#This Row],[Rating]]="","Missing",IF(Cleaned_Data[[#This Row],[Rating]]&lt;3,"Poor",IF(Cleaned_Data[[#This Row],[Rating]]&lt;=4.5,"Average","Excellent")))</f>
        <v>Missing</v>
      </c>
      <c r="I98" s="15" t="str">
        <f>IF(
Cleaned_Data[[#This Row],[Discount]]="",
"Missing",
IF(
Cleaned_Data[[#This Row],[Discount]]&lt;20%,
"Low Discount",
IF(
Cleaned_Data[[#This Row],[Discount]]&lt;=40%,
"Medium Discount",
"High Discount"
)
)
)</f>
        <v>Low Discount</v>
      </c>
      <c r="J98" s="15" t="str">
        <f>IF(
Cleaned_Data[[#This Row],[Current Price]]="",
"Missing",
IF(
Cleaned_Data[[#This Row],[Current Price]]&lt;=Analysis!$B$3,
"Low Price",
IF(
Cleaned_Data[[#This Row],[Current Price]]&lt;=Analysis!$B$4,
"Medium Price",
"High Price"
)
)
)</f>
        <v>Medium Price</v>
      </c>
      <c r="K98" s="15" t="str">
        <f>IF(Cleaned_Data[[#This Row],[Review]]="","Missing",IF(Cleaned_Data[[#This Row],[Review]]&gt;=Engagement_Threshold,"Strong Engagement","Weak Engagement"))</f>
        <v>Missing</v>
      </c>
      <c r="L98" s="15" t="str">
        <f>IF(OR(Cleaned_Data[[#This Row],[Discount]]="",Cleaned_Data[[#This Row],[Rating]]=""),"Missing",IF(AND(Cleaned_Data[[#This Row],[Discount Category]]="High Discount",Cleaned_Data[[#This Row],[Rating Category]]="Poor"),"Flag","OK"))</f>
        <v>Missing</v>
      </c>
      <c r="M98" s="15" t="str">
        <f>IF(OR(Cleaned_Data[[#This Row],[Discount]]="",Cleaned_Data[[#This Row],[Review]]=""),"Missing",IF(AND(Cleaned_Data[[#This Row],[Discount Category]]="High Discount",Cleaned_Data[[#This Row],[Engagement]]="Weak Engagement"),"Flag","OK"))</f>
        <v>Missing</v>
      </c>
      <c r="N98" s="15" t="str">
        <f>IF(OR(Cleaned_Data[[#This Row],[Review]]="",Cleaned_Data[[#This Row],[Rating]]=""),"Missing",IF(AND(Cleaned_Data[[#This Row],[Engagement]]="Strong Engagement",Cleaned_Data[[#This Row],[Rating Category]]="Average"),"Flag","OK"))</f>
        <v>Missing</v>
      </c>
      <c r="O98" s="15" t="str">
        <f>IF(OR(Cleaned_Data[[#This Row],[Review]]="",Cleaned_Data[[#This Row],[Rating]]=""),"Missing",IF(AND(Cleaned_Data[[#This Row],[Engagement]]="Strong Engagement",Cleaned_Data[[#This Row],[Rating Category]]="Excellent"),"Flag","OK"))</f>
        <v>Missing</v>
      </c>
      <c r="P98" s="15" t="str">
        <f>IF(Cleaned_Data[[#This Row],[Rating]]="","Missing Rating","Has Rating")</f>
        <v>Missing Rating</v>
      </c>
      <c r="Q98" s="7">
        <f>IFERROR(
(Cleaned_Data[[#This Row],[Old Price]]-Cleaned_Data[[#This Row],[Current Price]])/Cleaned_Data[[#This Row],[Old Price]],
""
)</f>
        <v>2.4683122081387593E-2</v>
      </c>
      <c r="R98" s="7" t="str">
        <f>IF( Cleaned_Data[[#This Row],[Discount]] -
 Cleaned_Data[[#This Row],[Calculated Discount]]&gt;2%,
"Check",
"OK"
)</f>
        <v>OK</v>
      </c>
      <c r="S98" t="str">
        <f>IF(OR(Cleaned_Data[[#This Row],[Rating]]&lt;0,Cleaned_Data[[#This Row],[Rating]]&gt;5),"Check rating","OK")</f>
        <v>OK</v>
      </c>
      <c r="T98" t="str">
        <f>IF(OR(Cleaned_Data[[#This Row],[Discount]]&lt;0,Cleaned_Data[[#This Row],[Discount]]&gt;1),"Check discount","OK")</f>
        <v>OK</v>
      </c>
      <c r="U98" t="str">
        <f>IF(Cleaned_Data[[#This Row],[Current Price]]&gt;Cleaned_Data[[#This Row],[Old Price]],"Check prices","OK")</f>
        <v>OK</v>
      </c>
    </row>
    <row r="99" spans="1:21">
      <c r="A99" t="s">
        <v>285</v>
      </c>
      <c r="B99" s="8">
        <v>248</v>
      </c>
      <c r="C99" s="8">
        <v>486</v>
      </c>
      <c r="D99" s="7">
        <v>0.49</v>
      </c>
      <c r="G99">
        <f>Cleaned_Data[[#This Row],[Old Price]]-Cleaned_Data[[#This Row],[Current Price]]</f>
        <v>238</v>
      </c>
      <c r="H99" s="15" t="str">
        <f>IF(Cleaned_Data[[#This Row],[Rating]]="","Missing",IF(Cleaned_Data[[#This Row],[Rating]]&lt;3,"Poor",IF(Cleaned_Data[[#This Row],[Rating]]&lt;=4.5,"Average","Excellent")))</f>
        <v>Missing</v>
      </c>
      <c r="I99" s="15" t="str">
        <f>IF(
Cleaned_Data[[#This Row],[Discount]]="",
"Missing",
IF(
Cleaned_Data[[#This Row],[Discount]]&lt;20%,
"Low Discount",
IF(
Cleaned_Data[[#This Row],[Discount]]&lt;=40%,
"Medium Discount",
"High Discount"
)
)
)</f>
        <v>High Discount</v>
      </c>
      <c r="J99" s="15" t="str">
        <f>IF(
Cleaned_Data[[#This Row],[Current Price]]="",
"Missing",
IF(
Cleaned_Data[[#This Row],[Current Price]]&lt;=Analysis!$B$3,
"Low Price",
IF(
Cleaned_Data[[#This Row],[Current Price]]&lt;=Analysis!$B$4,
"Medium Price",
"High Price"
)
)
)</f>
        <v>Low Price</v>
      </c>
      <c r="K99" s="15" t="str">
        <f>IF(Cleaned_Data[[#This Row],[Review]]="","Missing",IF(Cleaned_Data[[#This Row],[Review]]&gt;=Engagement_Threshold,"Strong Engagement","Weak Engagement"))</f>
        <v>Missing</v>
      </c>
      <c r="L99" s="15" t="str">
        <f>IF(OR(Cleaned_Data[[#This Row],[Discount]]="",Cleaned_Data[[#This Row],[Rating]]=""),"Missing",IF(AND(Cleaned_Data[[#This Row],[Discount Category]]="High Discount",Cleaned_Data[[#This Row],[Rating Category]]="Poor"),"Flag","OK"))</f>
        <v>Missing</v>
      </c>
      <c r="M99" s="15" t="str">
        <f>IF(OR(Cleaned_Data[[#This Row],[Discount]]="",Cleaned_Data[[#This Row],[Review]]=""),"Missing",IF(AND(Cleaned_Data[[#This Row],[Discount Category]]="High Discount",Cleaned_Data[[#This Row],[Engagement]]="Weak Engagement"),"Flag","OK"))</f>
        <v>Missing</v>
      </c>
      <c r="N99" s="15" t="str">
        <f>IF(OR(Cleaned_Data[[#This Row],[Review]]="",Cleaned_Data[[#This Row],[Rating]]=""),"Missing",IF(AND(Cleaned_Data[[#This Row],[Engagement]]="Strong Engagement",Cleaned_Data[[#This Row],[Rating Category]]="Average"),"Flag","OK"))</f>
        <v>Missing</v>
      </c>
      <c r="O99" s="15" t="str">
        <f>IF(OR(Cleaned_Data[[#This Row],[Review]]="",Cleaned_Data[[#This Row],[Rating]]=""),"Missing",IF(AND(Cleaned_Data[[#This Row],[Engagement]]="Strong Engagement",Cleaned_Data[[#This Row],[Rating Category]]="Excellent"),"Flag","OK"))</f>
        <v>Missing</v>
      </c>
      <c r="P99" s="15" t="str">
        <f>IF(Cleaned_Data[[#This Row],[Rating]]="","Missing Rating","Has Rating")</f>
        <v>Missing Rating</v>
      </c>
      <c r="Q99" s="7">
        <f>IFERROR(
(Cleaned_Data[[#This Row],[Old Price]]-Cleaned_Data[[#This Row],[Current Price]])/Cleaned_Data[[#This Row],[Old Price]],
""
)</f>
        <v>0.48971193415637859</v>
      </c>
      <c r="R99" s="7" t="str">
        <f>IF( Cleaned_Data[[#This Row],[Discount]] -
 Cleaned_Data[[#This Row],[Calculated Discount]]&gt;2%,
"Check",
"OK"
)</f>
        <v>OK</v>
      </c>
      <c r="S99" t="str">
        <f>IF(OR(Cleaned_Data[[#This Row],[Rating]]&lt;0,Cleaned_Data[[#This Row],[Rating]]&gt;5),"Check rating","OK")</f>
        <v>OK</v>
      </c>
      <c r="T99" t="str">
        <f>IF(OR(Cleaned_Data[[#This Row],[Discount]]&lt;0,Cleaned_Data[[#This Row],[Discount]]&gt;1),"Check discount","OK")</f>
        <v>OK</v>
      </c>
      <c r="U99" t="str">
        <f>IF(Cleaned_Data[[#This Row],[Current Price]]&gt;Cleaned_Data[[#This Row],[Old Price]],"Check prices","OK")</f>
        <v>OK</v>
      </c>
    </row>
    <row r="100" spans="1:21">
      <c r="A100" t="s">
        <v>288</v>
      </c>
      <c r="B100" s="8">
        <v>3546</v>
      </c>
      <c r="C100" s="8">
        <v>3699</v>
      </c>
      <c r="D100" s="7">
        <v>0.04</v>
      </c>
      <c r="G100">
        <f>Cleaned_Data[[#This Row],[Old Price]]-Cleaned_Data[[#This Row],[Current Price]]</f>
        <v>153</v>
      </c>
      <c r="H100" s="15" t="str">
        <f>IF(Cleaned_Data[[#This Row],[Rating]]="","Missing",IF(Cleaned_Data[[#This Row],[Rating]]&lt;3,"Poor",IF(Cleaned_Data[[#This Row],[Rating]]&lt;=4.5,"Average","Excellent")))</f>
        <v>Missing</v>
      </c>
      <c r="I100" s="15" t="str">
        <f>IF(
Cleaned_Data[[#This Row],[Discount]]="",
"Missing",
IF(
Cleaned_Data[[#This Row],[Discount]]&lt;20%,
"Low Discount",
IF(
Cleaned_Data[[#This Row],[Discount]]&lt;=40%,
"Medium Discount",
"High Discount"
)
)
)</f>
        <v>Low Discount</v>
      </c>
      <c r="J100" s="15" t="str">
        <f>IF(
Cleaned_Data[[#This Row],[Current Price]]="",
"Missing",
IF(
Cleaned_Data[[#This Row],[Current Price]]&lt;=Analysis!$B$3,
"Low Price",
IF(
Cleaned_Data[[#This Row],[Current Price]]&lt;=Analysis!$B$4,
"Medium Price",
"High Price"
)
)
)</f>
        <v>High Price</v>
      </c>
      <c r="K100" s="15" t="str">
        <f>IF(Cleaned_Data[[#This Row],[Review]]="","Missing",IF(Cleaned_Data[[#This Row],[Review]]&gt;=Engagement_Threshold,"Strong Engagement","Weak Engagement"))</f>
        <v>Missing</v>
      </c>
      <c r="L100" s="15" t="str">
        <f>IF(OR(Cleaned_Data[[#This Row],[Discount]]="",Cleaned_Data[[#This Row],[Rating]]=""),"Missing",IF(AND(Cleaned_Data[[#This Row],[Discount Category]]="High Discount",Cleaned_Data[[#This Row],[Rating Category]]="Poor"),"Flag","OK"))</f>
        <v>Missing</v>
      </c>
      <c r="M100" s="15" t="str">
        <f>IF(OR(Cleaned_Data[[#This Row],[Discount]]="",Cleaned_Data[[#This Row],[Review]]=""),"Missing",IF(AND(Cleaned_Data[[#This Row],[Discount Category]]="High Discount",Cleaned_Data[[#This Row],[Engagement]]="Weak Engagement"),"Flag","OK"))</f>
        <v>Missing</v>
      </c>
      <c r="N100" s="15" t="str">
        <f>IF(OR(Cleaned_Data[[#This Row],[Review]]="",Cleaned_Data[[#This Row],[Rating]]=""),"Missing",IF(AND(Cleaned_Data[[#This Row],[Engagement]]="Strong Engagement",Cleaned_Data[[#This Row],[Rating Category]]="Average"),"Flag","OK"))</f>
        <v>Missing</v>
      </c>
      <c r="O100" s="15" t="str">
        <f>IF(OR(Cleaned_Data[[#This Row],[Review]]="",Cleaned_Data[[#This Row],[Rating]]=""),"Missing",IF(AND(Cleaned_Data[[#This Row],[Engagement]]="Strong Engagement",Cleaned_Data[[#This Row],[Rating Category]]="Excellent"),"Flag","OK"))</f>
        <v>Missing</v>
      </c>
      <c r="P100" s="15" t="str">
        <f>IF(Cleaned_Data[[#This Row],[Rating]]="","Missing Rating","Has Rating")</f>
        <v>Missing Rating</v>
      </c>
      <c r="Q100" s="7">
        <f>IFERROR(
(Cleaned_Data[[#This Row],[Old Price]]-Cleaned_Data[[#This Row],[Current Price]])/Cleaned_Data[[#This Row],[Old Price]],
""
)</f>
        <v>4.1362530413625302E-2</v>
      </c>
      <c r="R100" s="7" t="str">
        <f>IF( Cleaned_Data[[#This Row],[Discount]] -
 Cleaned_Data[[#This Row],[Calculated Discount]]&gt;2%,
"Check",
"OK"
)</f>
        <v>OK</v>
      </c>
      <c r="S100" t="str">
        <f>IF(OR(Cleaned_Data[[#This Row],[Rating]]&lt;0,Cleaned_Data[[#This Row],[Rating]]&gt;5),"Check rating","OK")</f>
        <v>OK</v>
      </c>
      <c r="T100" t="str">
        <f>IF(OR(Cleaned_Data[[#This Row],[Discount]]&lt;0,Cleaned_Data[[#This Row],[Discount]]&gt;1),"Check discount","OK")</f>
        <v>OK</v>
      </c>
      <c r="U100" t="str">
        <f>IF(Cleaned_Data[[#This Row],[Current Price]]&gt;Cleaned_Data[[#This Row],[Old Price]],"Check prices","OK")</f>
        <v>OK</v>
      </c>
    </row>
    <row r="101" spans="1:21">
      <c r="A101" t="s">
        <v>290</v>
      </c>
      <c r="B101" s="8">
        <v>525</v>
      </c>
      <c r="C101" s="8">
        <v>1029</v>
      </c>
      <c r="D101" s="7">
        <v>0.49</v>
      </c>
      <c r="G101">
        <f>Cleaned_Data[[#This Row],[Old Price]]-Cleaned_Data[[#This Row],[Current Price]]</f>
        <v>504</v>
      </c>
      <c r="H101" s="15" t="str">
        <f>IF(Cleaned_Data[[#This Row],[Rating]]="","Missing",IF(Cleaned_Data[[#This Row],[Rating]]&lt;3,"Poor",IF(Cleaned_Data[[#This Row],[Rating]]&lt;=4.5,"Average","Excellent")))</f>
        <v>Missing</v>
      </c>
      <c r="I101" s="15" t="str">
        <f>IF(
Cleaned_Data[[#This Row],[Discount]]="",
"Missing",
IF(
Cleaned_Data[[#This Row],[Discount]]&lt;20%,
"Low Discount",
IF(
Cleaned_Data[[#This Row],[Discount]]&lt;=40%,
"Medium Discount",
"High Discount"
)
)
)</f>
        <v>High Discount</v>
      </c>
      <c r="J101" s="15" t="str">
        <f>IF(
Cleaned_Data[[#This Row],[Current Price]]="",
"Missing",
IF(
Cleaned_Data[[#This Row],[Current Price]]&lt;=Analysis!$B$3,
"Low Price",
IF(
Cleaned_Data[[#This Row],[Current Price]]&lt;=Analysis!$B$4,
"Medium Price",
"High Price"
)
)
)</f>
        <v>Medium Price</v>
      </c>
      <c r="K101" s="15" t="str">
        <f>IF(Cleaned_Data[[#This Row],[Review]]="","Missing",IF(Cleaned_Data[[#This Row],[Review]]&gt;=Engagement_Threshold,"Strong Engagement","Weak Engagement"))</f>
        <v>Missing</v>
      </c>
      <c r="L101" s="15" t="str">
        <f>IF(OR(Cleaned_Data[[#This Row],[Discount]]="",Cleaned_Data[[#This Row],[Rating]]=""),"Missing",IF(AND(Cleaned_Data[[#This Row],[Discount Category]]="High Discount",Cleaned_Data[[#This Row],[Rating Category]]="Poor"),"Flag","OK"))</f>
        <v>Missing</v>
      </c>
      <c r="M101" s="15" t="str">
        <f>IF(OR(Cleaned_Data[[#This Row],[Discount]]="",Cleaned_Data[[#This Row],[Review]]=""),"Missing",IF(AND(Cleaned_Data[[#This Row],[Discount Category]]="High Discount",Cleaned_Data[[#This Row],[Engagement]]="Weak Engagement"),"Flag","OK"))</f>
        <v>Missing</v>
      </c>
      <c r="N101" s="15" t="str">
        <f>IF(OR(Cleaned_Data[[#This Row],[Review]]="",Cleaned_Data[[#This Row],[Rating]]=""),"Missing",IF(AND(Cleaned_Data[[#This Row],[Engagement]]="Strong Engagement",Cleaned_Data[[#This Row],[Rating Category]]="Average"),"Flag","OK"))</f>
        <v>Missing</v>
      </c>
      <c r="O101" s="15" t="str">
        <f>IF(OR(Cleaned_Data[[#This Row],[Review]]="",Cleaned_Data[[#This Row],[Rating]]=""),"Missing",IF(AND(Cleaned_Data[[#This Row],[Engagement]]="Strong Engagement",Cleaned_Data[[#This Row],[Rating Category]]="Excellent"),"Flag","OK"))</f>
        <v>Missing</v>
      </c>
      <c r="P101" s="15" t="str">
        <f>IF(Cleaned_Data[[#This Row],[Rating]]="","Missing Rating","Has Rating")</f>
        <v>Missing Rating</v>
      </c>
      <c r="Q101" s="7">
        <f>IFERROR(
(Cleaned_Data[[#This Row],[Old Price]]-Cleaned_Data[[#This Row],[Current Price]])/Cleaned_Data[[#This Row],[Old Price]],
""
)</f>
        <v>0.48979591836734693</v>
      </c>
      <c r="R101" s="7" t="str">
        <f>IF( Cleaned_Data[[#This Row],[Discount]] -
 Cleaned_Data[[#This Row],[Calculated Discount]]&gt;2%,
"Check",
"OK"
)</f>
        <v>OK</v>
      </c>
      <c r="S101" t="str">
        <f>IF(OR(Cleaned_Data[[#This Row],[Rating]]&lt;0,Cleaned_Data[[#This Row],[Rating]]&gt;5),"Check rating","OK")</f>
        <v>OK</v>
      </c>
      <c r="T101" t="str">
        <f>IF(OR(Cleaned_Data[[#This Row],[Discount]]&lt;0,Cleaned_Data[[#This Row],[Discount]]&gt;1),"Check discount","OK")</f>
        <v>OK</v>
      </c>
      <c r="U101" t="str">
        <f>IF(Cleaned_Data[[#This Row],[Current Price]]&gt;Cleaned_Data[[#This Row],[Old Price]],"Check prices","OK")</f>
        <v>OK</v>
      </c>
    </row>
    <row r="102" spans="1:21">
      <c r="A102" t="s">
        <v>293</v>
      </c>
      <c r="B102" s="8">
        <v>1080</v>
      </c>
      <c r="C102" s="8">
        <v>1874</v>
      </c>
      <c r="D102" s="7">
        <v>0.42</v>
      </c>
      <c r="G102">
        <f>Cleaned_Data[[#This Row],[Old Price]]-Cleaned_Data[[#This Row],[Current Price]]</f>
        <v>794</v>
      </c>
      <c r="H102" s="15" t="str">
        <f>IF(Cleaned_Data[[#This Row],[Rating]]="","Missing",IF(Cleaned_Data[[#This Row],[Rating]]&lt;3,"Poor",IF(Cleaned_Data[[#This Row],[Rating]]&lt;=4.5,"Average","Excellent")))</f>
        <v>Missing</v>
      </c>
      <c r="I102" s="15" t="str">
        <f>IF(
Cleaned_Data[[#This Row],[Discount]]="",
"Missing",
IF(
Cleaned_Data[[#This Row],[Discount]]&lt;20%,
"Low Discount",
IF(
Cleaned_Data[[#This Row],[Discount]]&lt;=40%,
"Medium Discount",
"High Discount"
)
)
)</f>
        <v>High Discount</v>
      </c>
      <c r="J102" s="15" t="str">
        <f>IF(
Cleaned_Data[[#This Row],[Current Price]]="",
"Missing",
IF(
Cleaned_Data[[#This Row],[Current Price]]&lt;=Analysis!$B$3,
"Low Price",
IF(
Cleaned_Data[[#This Row],[Current Price]]&lt;=Analysis!$B$4,
"Medium Price",
"High Price"
)
)
)</f>
        <v>Medium Price</v>
      </c>
      <c r="K102" s="15" t="str">
        <f>IF(Cleaned_Data[[#This Row],[Review]]="","Missing",IF(Cleaned_Data[[#This Row],[Review]]&gt;=Engagement_Threshold,"Strong Engagement","Weak Engagement"))</f>
        <v>Missing</v>
      </c>
      <c r="L102" s="15" t="str">
        <f>IF(OR(Cleaned_Data[[#This Row],[Discount]]="",Cleaned_Data[[#This Row],[Rating]]=""),"Missing",IF(AND(Cleaned_Data[[#This Row],[Discount Category]]="High Discount",Cleaned_Data[[#This Row],[Rating Category]]="Poor"),"Flag","OK"))</f>
        <v>Missing</v>
      </c>
      <c r="M102" s="15" t="str">
        <f>IF(OR(Cleaned_Data[[#This Row],[Discount]]="",Cleaned_Data[[#This Row],[Review]]=""),"Missing",IF(AND(Cleaned_Data[[#This Row],[Discount Category]]="High Discount",Cleaned_Data[[#This Row],[Engagement]]="Weak Engagement"),"Flag","OK"))</f>
        <v>Missing</v>
      </c>
      <c r="N102" s="15" t="str">
        <f>IF(OR(Cleaned_Data[[#This Row],[Review]]="",Cleaned_Data[[#This Row],[Rating]]=""),"Missing",IF(AND(Cleaned_Data[[#This Row],[Engagement]]="Strong Engagement",Cleaned_Data[[#This Row],[Rating Category]]="Average"),"Flag","OK"))</f>
        <v>Missing</v>
      </c>
      <c r="O102" s="15" t="str">
        <f>IF(OR(Cleaned_Data[[#This Row],[Review]]="",Cleaned_Data[[#This Row],[Rating]]=""),"Missing",IF(AND(Cleaned_Data[[#This Row],[Engagement]]="Strong Engagement",Cleaned_Data[[#This Row],[Rating Category]]="Excellent"),"Flag","OK"))</f>
        <v>Missing</v>
      </c>
      <c r="P102" s="15" t="str">
        <f>IF(Cleaned_Data[[#This Row],[Rating]]="","Missing Rating","Has Rating")</f>
        <v>Missing Rating</v>
      </c>
      <c r="Q102" s="7">
        <f>IFERROR(
(Cleaned_Data[[#This Row],[Old Price]]-Cleaned_Data[[#This Row],[Current Price]])/Cleaned_Data[[#This Row],[Old Price]],
""
)</f>
        <v>0.42369263607257202</v>
      </c>
      <c r="R102" s="7" t="str">
        <f>IF( Cleaned_Data[[#This Row],[Discount]] -
 Cleaned_Data[[#This Row],[Calculated Discount]]&gt;2%,
"Check",
"OK"
)</f>
        <v>OK</v>
      </c>
      <c r="S102" t="str">
        <f>IF(OR(Cleaned_Data[[#This Row],[Rating]]&lt;0,Cleaned_Data[[#This Row],[Rating]]&gt;5),"Check rating","OK")</f>
        <v>OK</v>
      </c>
      <c r="T102" t="str">
        <f>IF(OR(Cleaned_Data[[#This Row],[Discount]]&lt;0,Cleaned_Data[[#This Row],[Discount]]&gt;1),"Check discount","OK")</f>
        <v>OK</v>
      </c>
      <c r="U102" t="str">
        <f>IF(Cleaned_Data[[#This Row],[Current Price]]&gt;Cleaned_Data[[#This Row],[Old Price]],"Check prices","OK")</f>
        <v>OK</v>
      </c>
    </row>
    <row r="103" spans="1:21">
      <c r="A103" t="s">
        <v>296</v>
      </c>
      <c r="B103" s="8">
        <v>3640</v>
      </c>
      <c r="C103" s="8">
        <v>4588</v>
      </c>
      <c r="D103" s="7">
        <v>0.21</v>
      </c>
      <c r="E103">
        <v>1</v>
      </c>
      <c r="F103">
        <v>5</v>
      </c>
      <c r="G103">
        <f>Cleaned_Data[[#This Row],[Old Price]]-Cleaned_Data[[#This Row],[Current Price]]</f>
        <v>948</v>
      </c>
      <c r="H103" s="15" t="str">
        <f>IF(Cleaned_Data[[#This Row],[Rating]]="","Missing",IF(Cleaned_Data[[#This Row],[Rating]]&lt;3,"Poor",IF(Cleaned_Data[[#This Row],[Rating]]&lt;=4.5,"Average","Excellent")))</f>
        <v>Excellent</v>
      </c>
      <c r="I103" s="15" t="str">
        <f>IF(
Cleaned_Data[[#This Row],[Discount]]="",
"Missing",
IF(
Cleaned_Data[[#This Row],[Discount]]&lt;20%,
"Low Discount",
IF(
Cleaned_Data[[#This Row],[Discount]]&lt;=40%,
"Medium Discount",
"High Discount"
)
)
)</f>
        <v>Medium Discount</v>
      </c>
      <c r="J103" s="15" t="str">
        <f>IF(
Cleaned_Data[[#This Row],[Current Price]]="",
"Missing",
IF(
Cleaned_Data[[#This Row],[Current Price]]&lt;=Analysis!$B$3,
"Low Price",
IF(
Cleaned_Data[[#This Row],[Current Price]]&lt;=Analysis!$B$4,
"Medium Price",
"High Price"
)
)
)</f>
        <v>High Price</v>
      </c>
      <c r="K103" s="15" t="str">
        <f>IF(Cleaned_Data[[#This Row],[Review]]="","Missing",IF(Cleaned_Data[[#This Row],[Review]]&gt;=Engagement_Threshold,"Strong Engagement","Weak Engagement"))</f>
        <v>Weak Engagement</v>
      </c>
      <c r="L103" s="15" t="str">
        <f>IF(OR(Cleaned_Data[[#This Row],[Discount]]="",Cleaned_Data[[#This Row],[Rating]]=""),"Missing",IF(AND(Cleaned_Data[[#This Row],[Discount Category]]="High Discount",Cleaned_Data[[#This Row],[Rating Category]]="Poor"),"Flag","OK"))</f>
        <v>OK</v>
      </c>
      <c r="M103" s="15" t="str">
        <f>IF(OR(Cleaned_Data[[#This Row],[Discount]]="",Cleaned_Data[[#This Row],[Review]]=""),"Missing",IF(AND(Cleaned_Data[[#This Row],[Discount Category]]="High Discount",Cleaned_Data[[#This Row],[Engagement]]="Weak Engagement"),"Flag","OK"))</f>
        <v>OK</v>
      </c>
      <c r="N103" s="15" t="str">
        <f>IF(OR(Cleaned_Data[[#This Row],[Review]]="",Cleaned_Data[[#This Row],[Rating]]=""),"Missing",IF(AND(Cleaned_Data[[#This Row],[Engagement]]="Strong Engagement",Cleaned_Data[[#This Row],[Rating Category]]="Average"),"Flag","OK"))</f>
        <v>OK</v>
      </c>
      <c r="O103" s="15" t="str">
        <f>IF(OR(Cleaned_Data[[#This Row],[Review]]="",Cleaned_Data[[#This Row],[Rating]]=""),"Missing",IF(AND(Cleaned_Data[[#This Row],[Engagement]]="Strong Engagement",Cleaned_Data[[#This Row],[Rating Category]]="Excellent"),"Flag","OK"))</f>
        <v>OK</v>
      </c>
      <c r="P103" s="15" t="str">
        <f>IF(Cleaned_Data[[#This Row],[Rating]]="","Missing Rating","Has Rating")</f>
        <v>Has Rating</v>
      </c>
      <c r="Q103" s="7">
        <f>IFERROR(
(Cleaned_Data[[#This Row],[Old Price]]-Cleaned_Data[[#This Row],[Current Price]])/Cleaned_Data[[#This Row],[Old Price]],
""
)</f>
        <v>0.20662598081952921</v>
      </c>
      <c r="R103" s="7" t="str">
        <f>IF( Cleaned_Data[[#This Row],[Discount]] -
 Cleaned_Data[[#This Row],[Calculated Discount]]&gt;2%,
"Check",
"OK"
)</f>
        <v>OK</v>
      </c>
      <c r="S103" t="str">
        <f>IF(OR(Cleaned_Data[[#This Row],[Rating]]&lt;0,Cleaned_Data[[#This Row],[Rating]]&gt;5),"Check rating","OK")</f>
        <v>OK</v>
      </c>
      <c r="T103" t="str">
        <f>IF(OR(Cleaned_Data[[#This Row],[Discount]]&lt;0,Cleaned_Data[[#This Row],[Discount]]&gt;1),"Check discount","OK")</f>
        <v>OK</v>
      </c>
      <c r="U103" t="str">
        <f>IF(Cleaned_Data[[#This Row],[Current Price]]&gt;Cleaned_Data[[#This Row],[Old Price]],"Check prices","OK")</f>
        <v>OK</v>
      </c>
    </row>
    <row r="104" spans="1:21">
      <c r="A104" t="s">
        <v>299</v>
      </c>
      <c r="B104" s="8">
        <v>1420</v>
      </c>
      <c r="C104" s="8">
        <v>2420</v>
      </c>
      <c r="D104" s="7">
        <v>0.41</v>
      </c>
      <c r="G104">
        <f>Cleaned_Data[[#This Row],[Old Price]]-Cleaned_Data[[#This Row],[Current Price]]</f>
        <v>1000</v>
      </c>
      <c r="H104" s="15" t="str">
        <f>IF(Cleaned_Data[[#This Row],[Rating]]="","Missing",IF(Cleaned_Data[[#This Row],[Rating]]&lt;3,"Poor",IF(Cleaned_Data[[#This Row],[Rating]]&lt;=4.5,"Average","Excellent")))</f>
        <v>Missing</v>
      </c>
      <c r="I104" s="15" t="str">
        <f>IF(
Cleaned_Data[[#This Row],[Discount]]="",
"Missing",
IF(
Cleaned_Data[[#This Row],[Discount]]&lt;20%,
"Low Discount",
IF(
Cleaned_Data[[#This Row],[Discount]]&lt;=40%,
"Medium Discount",
"High Discount"
)
)
)</f>
        <v>High Discount</v>
      </c>
      <c r="J104" s="15" t="str">
        <f>IF(
Cleaned_Data[[#This Row],[Current Price]]="",
"Missing",
IF(
Cleaned_Data[[#This Row],[Current Price]]&lt;=Analysis!$B$3,
"Low Price",
IF(
Cleaned_Data[[#This Row],[Current Price]]&lt;=Analysis!$B$4,
"Medium Price",
"High Price"
)
)
)</f>
        <v>Medium Price</v>
      </c>
      <c r="K104" s="15" t="str">
        <f>IF(Cleaned_Data[[#This Row],[Review]]="","Missing",IF(Cleaned_Data[[#This Row],[Review]]&gt;=Engagement_Threshold,"Strong Engagement","Weak Engagement"))</f>
        <v>Missing</v>
      </c>
      <c r="L104" s="15" t="str">
        <f>IF(OR(Cleaned_Data[[#This Row],[Discount]]="",Cleaned_Data[[#This Row],[Rating]]=""),"Missing",IF(AND(Cleaned_Data[[#This Row],[Discount Category]]="High Discount",Cleaned_Data[[#This Row],[Rating Category]]="Poor"),"Flag","OK"))</f>
        <v>Missing</v>
      </c>
      <c r="M104" s="15" t="str">
        <f>IF(OR(Cleaned_Data[[#This Row],[Discount]]="",Cleaned_Data[[#This Row],[Review]]=""),"Missing",IF(AND(Cleaned_Data[[#This Row],[Discount Category]]="High Discount",Cleaned_Data[[#This Row],[Engagement]]="Weak Engagement"),"Flag","OK"))</f>
        <v>Missing</v>
      </c>
      <c r="N104" s="15" t="str">
        <f>IF(OR(Cleaned_Data[[#This Row],[Review]]="",Cleaned_Data[[#This Row],[Rating]]=""),"Missing",IF(AND(Cleaned_Data[[#This Row],[Engagement]]="Strong Engagement",Cleaned_Data[[#This Row],[Rating Category]]="Average"),"Flag","OK"))</f>
        <v>Missing</v>
      </c>
      <c r="O104" s="15" t="str">
        <f>IF(OR(Cleaned_Data[[#This Row],[Review]]="",Cleaned_Data[[#This Row],[Rating]]=""),"Missing",IF(AND(Cleaned_Data[[#This Row],[Engagement]]="Strong Engagement",Cleaned_Data[[#This Row],[Rating Category]]="Excellent"),"Flag","OK"))</f>
        <v>Missing</v>
      </c>
      <c r="P104" s="15" t="str">
        <f>IF(Cleaned_Data[[#This Row],[Rating]]="","Missing Rating","Has Rating")</f>
        <v>Missing Rating</v>
      </c>
      <c r="Q104" s="7">
        <f>IFERROR(
(Cleaned_Data[[#This Row],[Old Price]]-Cleaned_Data[[#This Row],[Current Price]])/Cleaned_Data[[#This Row],[Old Price]],
""
)</f>
        <v>0.41322314049586778</v>
      </c>
      <c r="R104" s="7" t="str">
        <f>IF( Cleaned_Data[[#This Row],[Discount]] -
 Cleaned_Data[[#This Row],[Calculated Discount]]&gt;2%,
"Check",
"OK"
)</f>
        <v>OK</v>
      </c>
      <c r="S104" t="str">
        <f>IF(OR(Cleaned_Data[[#This Row],[Rating]]&lt;0,Cleaned_Data[[#This Row],[Rating]]&gt;5),"Check rating","OK")</f>
        <v>OK</v>
      </c>
      <c r="T104" t="str">
        <f>IF(OR(Cleaned_Data[[#This Row],[Discount]]&lt;0,Cleaned_Data[[#This Row],[Discount]]&gt;1),"Check discount","OK")</f>
        <v>OK</v>
      </c>
      <c r="U104" t="str">
        <f>IF(Cleaned_Data[[#This Row],[Current Price]]&gt;Cleaned_Data[[#This Row],[Old Price]],"Check prices","OK")</f>
        <v>OK</v>
      </c>
    </row>
    <row r="105" spans="1:21">
      <c r="A105" t="s">
        <v>302</v>
      </c>
      <c r="B105" s="8">
        <v>1875</v>
      </c>
      <c r="C105" s="8">
        <v>1899</v>
      </c>
      <c r="D105" s="7">
        <v>0.01</v>
      </c>
      <c r="G105">
        <f>Cleaned_Data[[#This Row],[Old Price]]-Cleaned_Data[[#This Row],[Current Price]]</f>
        <v>24</v>
      </c>
      <c r="H105" s="15" t="str">
        <f>IF(Cleaned_Data[[#This Row],[Rating]]="","Missing",IF(Cleaned_Data[[#This Row],[Rating]]&lt;3,"Poor",IF(Cleaned_Data[[#This Row],[Rating]]&lt;=4.5,"Average","Excellent")))</f>
        <v>Missing</v>
      </c>
      <c r="I105" s="15" t="str">
        <f>IF(
Cleaned_Data[[#This Row],[Discount]]="",
"Missing",
IF(
Cleaned_Data[[#This Row],[Discount]]&lt;20%,
"Low Discount",
IF(
Cleaned_Data[[#This Row],[Discount]]&lt;=40%,
"Medium Discount",
"High Discount"
)
)
)</f>
        <v>Low Discount</v>
      </c>
      <c r="J105" s="15" t="str">
        <f>IF(
Cleaned_Data[[#This Row],[Current Price]]="",
"Missing",
IF(
Cleaned_Data[[#This Row],[Current Price]]&lt;=Analysis!$B$3,
"Low Price",
IF(
Cleaned_Data[[#This Row],[Current Price]]&lt;=Analysis!$B$4,
"Medium Price",
"High Price"
)
)
)</f>
        <v>High Price</v>
      </c>
      <c r="K105" s="15" t="str">
        <f>IF(Cleaned_Data[[#This Row],[Review]]="","Missing",IF(Cleaned_Data[[#This Row],[Review]]&gt;=Engagement_Threshold,"Strong Engagement","Weak Engagement"))</f>
        <v>Missing</v>
      </c>
      <c r="L105" s="15" t="str">
        <f>IF(OR(Cleaned_Data[[#This Row],[Discount]]="",Cleaned_Data[[#This Row],[Rating]]=""),"Missing",IF(AND(Cleaned_Data[[#This Row],[Discount Category]]="High Discount",Cleaned_Data[[#This Row],[Rating Category]]="Poor"),"Flag","OK"))</f>
        <v>Missing</v>
      </c>
      <c r="M105" s="15" t="str">
        <f>IF(OR(Cleaned_Data[[#This Row],[Discount]]="",Cleaned_Data[[#This Row],[Review]]=""),"Missing",IF(AND(Cleaned_Data[[#This Row],[Discount Category]]="High Discount",Cleaned_Data[[#This Row],[Engagement]]="Weak Engagement"),"Flag","OK"))</f>
        <v>Missing</v>
      </c>
      <c r="N105" s="15" t="str">
        <f>IF(OR(Cleaned_Data[[#This Row],[Review]]="",Cleaned_Data[[#This Row],[Rating]]=""),"Missing",IF(AND(Cleaned_Data[[#This Row],[Engagement]]="Strong Engagement",Cleaned_Data[[#This Row],[Rating Category]]="Average"),"Flag","OK"))</f>
        <v>Missing</v>
      </c>
      <c r="O105" s="15" t="str">
        <f>IF(OR(Cleaned_Data[[#This Row],[Review]]="",Cleaned_Data[[#This Row],[Rating]]=""),"Missing",IF(AND(Cleaned_Data[[#This Row],[Engagement]]="Strong Engagement",Cleaned_Data[[#This Row],[Rating Category]]="Excellent"),"Flag","OK"))</f>
        <v>Missing</v>
      </c>
      <c r="P105" s="15" t="str">
        <f>IF(Cleaned_Data[[#This Row],[Rating]]="","Missing Rating","Has Rating")</f>
        <v>Missing Rating</v>
      </c>
      <c r="Q105" s="7">
        <f>IFERROR(
(Cleaned_Data[[#This Row],[Old Price]]-Cleaned_Data[[#This Row],[Current Price]])/Cleaned_Data[[#This Row],[Old Price]],
""
)</f>
        <v>1.2638230647709321E-2</v>
      </c>
      <c r="R105" s="7" t="str">
        <f>IF( Cleaned_Data[[#This Row],[Discount]] -
 Cleaned_Data[[#This Row],[Calculated Discount]]&gt;2%,
"Check",
"OK"
)</f>
        <v>OK</v>
      </c>
      <c r="S105" t="str">
        <f>IF(OR(Cleaned_Data[[#This Row],[Rating]]&lt;0,Cleaned_Data[[#This Row],[Rating]]&gt;5),"Check rating","OK")</f>
        <v>OK</v>
      </c>
      <c r="T105" t="str">
        <f>IF(OR(Cleaned_Data[[#This Row],[Discount]]&lt;0,Cleaned_Data[[#This Row],[Discount]]&gt;1),"Check discount","OK")</f>
        <v>OK</v>
      </c>
      <c r="U105" t="str">
        <f>IF(Cleaned_Data[[#This Row],[Current Price]]&gt;Cleaned_Data[[#This Row],[Old Price]],"Check prices","OK")</f>
        <v>OK</v>
      </c>
    </row>
    <row r="106" spans="1:21">
      <c r="A106" t="s">
        <v>305</v>
      </c>
      <c r="B106" s="8">
        <v>198</v>
      </c>
      <c r="C106" s="8">
        <v>260</v>
      </c>
      <c r="D106" s="7">
        <v>0.24</v>
      </c>
      <c r="G106">
        <f>Cleaned_Data[[#This Row],[Old Price]]-Cleaned_Data[[#This Row],[Current Price]]</f>
        <v>62</v>
      </c>
      <c r="H106" s="15" t="str">
        <f>IF(Cleaned_Data[[#This Row],[Rating]]="","Missing",IF(Cleaned_Data[[#This Row],[Rating]]&lt;3,"Poor",IF(Cleaned_Data[[#This Row],[Rating]]&lt;=4.5,"Average","Excellent")))</f>
        <v>Missing</v>
      </c>
      <c r="I106" s="15" t="str">
        <f>IF(
Cleaned_Data[[#This Row],[Discount]]="",
"Missing",
IF(
Cleaned_Data[[#This Row],[Discount]]&lt;20%,
"Low Discount",
IF(
Cleaned_Data[[#This Row],[Discount]]&lt;=40%,
"Medium Discount",
"High Discount"
)
)
)</f>
        <v>Medium Discount</v>
      </c>
      <c r="J106" s="15" t="str">
        <f>IF(
Cleaned_Data[[#This Row],[Current Price]]="",
"Missing",
IF(
Cleaned_Data[[#This Row],[Current Price]]&lt;=Analysis!$B$3,
"Low Price",
IF(
Cleaned_Data[[#This Row],[Current Price]]&lt;=Analysis!$B$4,
"Medium Price",
"High Price"
)
)
)</f>
        <v>Low Price</v>
      </c>
      <c r="K106" s="15" t="str">
        <f>IF(Cleaned_Data[[#This Row],[Review]]="","Missing",IF(Cleaned_Data[[#This Row],[Review]]&gt;=Engagement_Threshold,"Strong Engagement","Weak Engagement"))</f>
        <v>Missing</v>
      </c>
      <c r="L106" s="15" t="str">
        <f>IF(OR(Cleaned_Data[[#This Row],[Discount]]="",Cleaned_Data[[#This Row],[Rating]]=""),"Missing",IF(AND(Cleaned_Data[[#This Row],[Discount Category]]="High Discount",Cleaned_Data[[#This Row],[Rating Category]]="Poor"),"Flag","OK"))</f>
        <v>Missing</v>
      </c>
      <c r="M106" s="15" t="str">
        <f>IF(OR(Cleaned_Data[[#This Row],[Discount]]="",Cleaned_Data[[#This Row],[Review]]=""),"Missing",IF(AND(Cleaned_Data[[#This Row],[Discount Category]]="High Discount",Cleaned_Data[[#This Row],[Engagement]]="Weak Engagement"),"Flag","OK"))</f>
        <v>Missing</v>
      </c>
      <c r="N106" s="15" t="str">
        <f>IF(OR(Cleaned_Data[[#This Row],[Review]]="",Cleaned_Data[[#This Row],[Rating]]=""),"Missing",IF(AND(Cleaned_Data[[#This Row],[Engagement]]="Strong Engagement",Cleaned_Data[[#This Row],[Rating Category]]="Average"),"Flag","OK"))</f>
        <v>Missing</v>
      </c>
      <c r="O106" s="15" t="str">
        <f>IF(OR(Cleaned_Data[[#This Row],[Review]]="",Cleaned_Data[[#This Row],[Rating]]=""),"Missing",IF(AND(Cleaned_Data[[#This Row],[Engagement]]="Strong Engagement",Cleaned_Data[[#This Row],[Rating Category]]="Excellent"),"Flag","OK"))</f>
        <v>Missing</v>
      </c>
      <c r="P106" s="15" t="str">
        <f>IF(Cleaned_Data[[#This Row],[Rating]]="","Missing Rating","Has Rating")</f>
        <v>Missing Rating</v>
      </c>
      <c r="Q106" s="7">
        <f>IFERROR(
(Cleaned_Data[[#This Row],[Old Price]]-Cleaned_Data[[#This Row],[Current Price]])/Cleaned_Data[[#This Row],[Old Price]],
""
)</f>
        <v>0.23846153846153847</v>
      </c>
      <c r="R106" s="7" t="str">
        <f>IF( Cleaned_Data[[#This Row],[Discount]] -
 Cleaned_Data[[#This Row],[Calculated Discount]]&gt;2%,
"Check",
"OK"
)</f>
        <v>OK</v>
      </c>
      <c r="S106" t="str">
        <f>IF(OR(Cleaned_Data[[#This Row],[Rating]]&lt;0,Cleaned_Data[[#This Row],[Rating]]&gt;5),"Check rating","OK")</f>
        <v>OK</v>
      </c>
      <c r="T106" t="str">
        <f>IF(OR(Cleaned_Data[[#This Row],[Discount]]&lt;0,Cleaned_Data[[#This Row],[Discount]]&gt;1),"Check discount","OK")</f>
        <v>OK</v>
      </c>
      <c r="U106" t="str">
        <f>IF(Cleaned_Data[[#This Row],[Current Price]]&gt;Cleaned_Data[[#This Row],[Old Price]],"Check prices","OK")</f>
        <v>OK</v>
      </c>
    </row>
    <row r="107" spans="1:21">
      <c r="A107" t="s">
        <v>308</v>
      </c>
      <c r="B107" s="8">
        <v>1150</v>
      </c>
      <c r="C107" s="8">
        <v>1737</v>
      </c>
      <c r="D107" s="7">
        <v>0.34</v>
      </c>
      <c r="G107">
        <f>Cleaned_Data[[#This Row],[Old Price]]-Cleaned_Data[[#This Row],[Current Price]]</f>
        <v>587</v>
      </c>
      <c r="H107" s="15" t="str">
        <f>IF(Cleaned_Data[[#This Row],[Rating]]="","Missing",IF(Cleaned_Data[[#This Row],[Rating]]&lt;3,"Poor",IF(Cleaned_Data[[#This Row],[Rating]]&lt;=4.5,"Average","Excellent")))</f>
        <v>Missing</v>
      </c>
      <c r="I107" s="15" t="str">
        <f>IF(
Cleaned_Data[[#This Row],[Discount]]="",
"Missing",
IF(
Cleaned_Data[[#This Row],[Discount]]&lt;20%,
"Low Discount",
IF(
Cleaned_Data[[#This Row],[Discount]]&lt;=40%,
"Medium Discount",
"High Discount"
)
)
)</f>
        <v>Medium Discount</v>
      </c>
      <c r="J107" s="15" t="str">
        <f>IF(
Cleaned_Data[[#This Row],[Current Price]]="",
"Missing",
IF(
Cleaned_Data[[#This Row],[Current Price]]&lt;=Analysis!$B$3,
"Low Price",
IF(
Cleaned_Data[[#This Row],[Current Price]]&lt;=Analysis!$B$4,
"Medium Price",
"High Price"
)
)
)</f>
        <v>Medium Price</v>
      </c>
      <c r="K107" s="15" t="str">
        <f>IF(Cleaned_Data[[#This Row],[Review]]="","Missing",IF(Cleaned_Data[[#This Row],[Review]]&gt;=Engagement_Threshold,"Strong Engagement","Weak Engagement"))</f>
        <v>Missing</v>
      </c>
      <c r="L107" s="15" t="str">
        <f>IF(OR(Cleaned_Data[[#This Row],[Discount]]="",Cleaned_Data[[#This Row],[Rating]]=""),"Missing",IF(AND(Cleaned_Data[[#This Row],[Discount Category]]="High Discount",Cleaned_Data[[#This Row],[Rating Category]]="Poor"),"Flag","OK"))</f>
        <v>Missing</v>
      </c>
      <c r="M107" s="15" t="str">
        <f>IF(OR(Cleaned_Data[[#This Row],[Discount]]="",Cleaned_Data[[#This Row],[Review]]=""),"Missing",IF(AND(Cleaned_Data[[#This Row],[Discount Category]]="High Discount",Cleaned_Data[[#This Row],[Engagement]]="Weak Engagement"),"Flag","OK"))</f>
        <v>Missing</v>
      </c>
      <c r="N107" s="15" t="str">
        <f>IF(OR(Cleaned_Data[[#This Row],[Review]]="",Cleaned_Data[[#This Row],[Rating]]=""),"Missing",IF(AND(Cleaned_Data[[#This Row],[Engagement]]="Strong Engagement",Cleaned_Data[[#This Row],[Rating Category]]="Average"),"Flag","OK"))</f>
        <v>Missing</v>
      </c>
      <c r="O107" s="15" t="str">
        <f>IF(OR(Cleaned_Data[[#This Row],[Review]]="",Cleaned_Data[[#This Row],[Rating]]=""),"Missing",IF(AND(Cleaned_Data[[#This Row],[Engagement]]="Strong Engagement",Cleaned_Data[[#This Row],[Rating Category]]="Excellent"),"Flag","OK"))</f>
        <v>Missing</v>
      </c>
      <c r="P107" s="15" t="str">
        <f>IF(Cleaned_Data[[#This Row],[Rating]]="","Missing Rating","Has Rating")</f>
        <v>Missing Rating</v>
      </c>
      <c r="Q107" s="7">
        <f>IFERROR(
(Cleaned_Data[[#This Row],[Old Price]]-Cleaned_Data[[#This Row],[Current Price]])/Cleaned_Data[[#This Row],[Old Price]],
""
)</f>
        <v>0.3379389752446747</v>
      </c>
      <c r="R107" s="7" t="str">
        <f>IF( Cleaned_Data[[#This Row],[Discount]] -
 Cleaned_Data[[#This Row],[Calculated Discount]]&gt;2%,
"Check",
"OK"
)</f>
        <v>OK</v>
      </c>
      <c r="S107" t="str">
        <f>IF(OR(Cleaned_Data[[#This Row],[Rating]]&lt;0,Cleaned_Data[[#This Row],[Rating]]&gt;5),"Check rating","OK")</f>
        <v>OK</v>
      </c>
      <c r="T107" t="str">
        <f>IF(OR(Cleaned_Data[[#This Row],[Discount]]&lt;0,Cleaned_Data[[#This Row],[Discount]]&gt;1),"Check discount","OK")</f>
        <v>OK</v>
      </c>
      <c r="U107" t="str">
        <f>IF(Cleaned_Data[[#This Row],[Current Price]]&gt;Cleaned_Data[[#This Row],[Old Price]],"Check prices","OK")</f>
        <v>OK</v>
      </c>
    </row>
    <row r="108" spans="1:21">
      <c r="A108" t="s">
        <v>311</v>
      </c>
      <c r="B108" s="8">
        <v>1190</v>
      </c>
      <c r="C108" s="8">
        <v>1810</v>
      </c>
      <c r="D108" s="7">
        <v>0.34</v>
      </c>
      <c r="G108">
        <f>Cleaned_Data[[#This Row],[Old Price]]-Cleaned_Data[[#This Row],[Current Price]]</f>
        <v>620</v>
      </c>
      <c r="H108" s="15" t="str">
        <f>IF(Cleaned_Data[[#This Row],[Rating]]="","Missing",IF(Cleaned_Data[[#This Row],[Rating]]&lt;3,"Poor",IF(Cleaned_Data[[#This Row],[Rating]]&lt;=4.5,"Average","Excellent")))</f>
        <v>Missing</v>
      </c>
      <c r="I108" s="15" t="str">
        <f>IF(
Cleaned_Data[[#This Row],[Discount]]="",
"Missing",
IF(
Cleaned_Data[[#This Row],[Discount]]&lt;20%,
"Low Discount",
IF(
Cleaned_Data[[#This Row],[Discount]]&lt;=40%,
"Medium Discount",
"High Discount"
)
)
)</f>
        <v>Medium Discount</v>
      </c>
      <c r="J108" s="15" t="str">
        <f>IF(
Cleaned_Data[[#This Row],[Current Price]]="",
"Missing",
IF(
Cleaned_Data[[#This Row],[Current Price]]&lt;=Analysis!$B$3,
"Low Price",
IF(
Cleaned_Data[[#This Row],[Current Price]]&lt;=Analysis!$B$4,
"Medium Price",
"High Price"
)
)
)</f>
        <v>Medium Price</v>
      </c>
      <c r="K108" s="15" t="str">
        <f>IF(Cleaned_Data[[#This Row],[Review]]="","Missing",IF(Cleaned_Data[[#This Row],[Review]]&gt;=Engagement_Threshold,"Strong Engagement","Weak Engagement"))</f>
        <v>Missing</v>
      </c>
      <c r="L108" s="15" t="str">
        <f>IF(OR(Cleaned_Data[[#This Row],[Discount]]="",Cleaned_Data[[#This Row],[Rating]]=""),"Missing",IF(AND(Cleaned_Data[[#This Row],[Discount Category]]="High Discount",Cleaned_Data[[#This Row],[Rating Category]]="Poor"),"Flag","OK"))</f>
        <v>Missing</v>
      </c>
      <c r="M108" s="15" t="str">
        <f>IF(OR(Cleaned_Data[[#This Row],[Discount]]="",Cleaned_Data[[#This Row],[Review]]=""),"Missing",IF(AND(Cleaned_Data[[#This Row],[Discount Category]]="High Discount",Cleaned_Data[[#This Row],[Engagement]]="Weak Engagement"),"Flag","OK"))</f>
        <v>Missing</v>
      </c>
      <c r="N108" s="15" t="str">
        <f>IF(OR(Cleaned_Data[[#This Row],[Review]]="",Cleaned_Data[[#This Row],[Rating]]=""),"Missing",IF(AND(Cleaned_Data[[#This Row],[Engagement]]="Strong Engagement",Cleaned_Data[[#This Row],[Rating Category]]="Average"),"Flag","OK"))</f>
        <v>Missing</v>
      </c>
      <c r="O108" s="15" t="str">
        <f>IF(OR(Cleaned_Data[[#This Row],[Review]]="",Cleaned_Data[[#This Row],[Rating]]=""),"Missing",IF(AND(Cleaned_Data[[#This Row],[Engagement]]="Strong Engagement",Cleaned_Data[[#This Row],[Rating Category]]="Excellent"),"Flag","OK"))</f>
        <v>Missing</v>
      </c>
      <c r="P108" s="15" t="str">
        <f>IF(Cleaned_Data[[#This Row],[Rating]]="","Missing Rating","Has Rating")</f>
        <v>Missing Rating</v>
      </c>
      <c r="Q108" s="7">
        <f>IFERROR(
(Cleaned_Data[[#This Row],[Old Price]]-Cleaned_Data[[#This Row],[Current Price]])/Cleaned_Data[[#This Row],[Old Price]],
""
)</f>
        <v>0.34254143646408841</v>
      </c>
      <c r="R108" s="7" t="str">
        <f>IF( Cleaned_Data[[#This Row],[Discount]] -
 Cleaned_Data[[#This Row],[Calculated Discount]]&gt;2%,
"Check",
"OK"
)</f>
        <v>OK</v>
      </c>
      <c r="S108" t="str">
        <f>IF(OR(Cleaned_Data[[#This Row],[Rating]]&lt;0,Cleaned_Data[[#This Row],[Rating]]&gt;5),"Check rating","OK")</f>
        <v>OK</v>
      </c>
      <c r="T108" t="str">
        <f>IF(OR(Cleaned_Data[[#This Row],[Discount]]&lt;0,Cleaned_Data[[#This Row],[Discount]]&gt;1),"Check discount","OK")</f>
        <v>OK</v>
      </c>
      <c r="U108" t="str">
        <f>IF(Cleaned_Data[[#This Row],[Current Price]]&gt;Cleaned_Data[[#This Row],[Old Price]],"Check prices","OK")</f>
        <v>OK</v>
      </c>
    </row>
    <row r="109" spans="1:21">
      <c r="A109" t="s">
        <v>313</v>
      </c>
      <c r="B109" s="8">
        <v>1658</v>
      </c>
      <c r="C109" s="8">
        <v>1699</v>
      </c>
      <c r="D109" s="7">
        <v>0.02</v>
      </c>
      <c r="G109">
        <f>Cleaned_Data[[#This Row],[Old Price]]-Cleaned_Data[[#This Row],[Current Price]]</f>
        <v>41</v>
      </c>
      <c r="H109" s="15" t="str">
        <f>IF(Cleaned_Data[[#This Row],[Rating]]="","Missing",IF(Cleaned_Data[[#This Row],[Rating]]&lt;3,"Poor",IF(Cleaned_Data[[#This Row],[Rating]]&lt;=4.5,"Average","Excellent")))</f>
        <v>Missing</v>
      </c>
      <c r="I109" s="15" t="str">
        <f>IF(
Cleaned_Data[[#This Row],[Discount]]="",
"Missing",
IF(
Cleaned_Data[[#This Row],[Discount]]&lt;20%,
"Low Discount",
IF(
Cleaned_Data[[#This Row],[Discount]]&lt;=40%,
"Medium Discount",
"High Discount"
)
)
)</f>
        <v>Low Discount</v>
      </c>
      <c r="J109" s="15" t="str">
        <f>IF(
Cleaned_Data[[#This Row],[Current Price]]="",
"Missing",
IF(
Cleaned_Data[[#This Row],[Current Price]]&lt;=Analysis!$B$3,
"Low Price",
IF(
Cleaned_Data[[#This Row],[Current Price]]&lt;=Analysis!$B$4,
"Medium Price",
"High Price"
)
)
)</f>
        <v>Medium Price</v>
      </c>
      <c r="K109" s="15" t="str">
        <f>IF(Cleaned_Data[[#This Row],[Review]]="","Missing",IF(Cleaned_Data[[#This Row],[Review]]&gt;=Engagement_Threshold,"Strong Engagement","Weak Engagement"))</f>
        <v>Missing</v>
      </c>
      <c r="L109" s="15" t="str">
        <f>IF(OR(Cleaned_Data[[#This Row],[Discount]]="",Cleaned_Data[[#This Row],[Rating]]=""),"Missing",IF(AND(Cleaned_Data[[#This Row],[Discount Category]]="High Discount",Cleaned_Data[[#This Row],[Rating Category]]="Poor"),"Flag","OK"))</f>
        <v>Missing</v>
      </c>
      <c r="M109" s="15" t="str">
        <f>IF(OR(Cleaned_Data[[#This Row],[Discount]]="",Cleaned_Data[[#This Row],[Review]]=""),"Missing",IF(AND(Cleaned_Data[[#This Row],[Discount Category]]="High Discount",Cleaned_Data[[#This Row],[Engagement]]="Weak Engagement"),"Flag","OK"))</f>
        <v>Missing</v>
      </c>
      <c r="N109" s="15" t="str">
        <f>IF(OR(Cleaned_Data[[#This Row],[Review]]="",Cleaned_Data[[#This Row],[Rating]]=""),"Missing",IF(AND(Cleaned_Data[[#This Row],[Engagement]]="Strong Engagement",Cleaned_Data[[#This Row],[Rating Category]]="Average"),"Flag","OK"))</f>
        <v>Missing</v>
      </c>
      <c r="O109" s="15" t="str">
        <f>IF(OR(Cleaned_Data[[#This Row],[Review]]="",Cleaned_Data[[#This Row],[Rating]]=""),"Missing",IF(AND(Cleaned_Data[[#This Row],[Engagement]]="Strong Engagement",Cleaned_Data[[#This Row],[Rating Category]]="Excellent"),"Flag","OK"))</f>
        <v>Missing</v>
      </c>
      <c r="P109" s="15" t="str">
        <f>IF(Cleaned_Data[[#This Row],[Rating]]="","Missing Rating","Has Rating")</f>
        <v>Missing Rating</v>
      </c>
      <c r="Q109" s="7">
        <f>IFERROR(
(Cleaned_Data[[#This Row],[Old Price]]-Cleaned_Data[[#This Row],[Current Price]])/Cleaned_Data[[#This Row],[Old Price]],
""
)</f>
        <v>2.4131842260153032E-2</v>
      </c>
      <c r="R109" s="7" t="str">
        <f>IF( Cleaned_Data[[#This Row],[Discount]] -
 Cleaned_Data[[#This Row],[Calculated Discount]]&gt;2%,
"Check",
"OK"
)</f>
        <v>OK</v>
      </c>
      <c r="S109" t="str">
        <f>IF(OR(Cleaned_Data[[#This Row],[Rating]]&lt;0,Cleaned_Data[[#This Row],[Rating]]&gt;5),"Check rating","OK")</f>
        <v>OK</v>
      </c>
      <c r="T109" t="str">
        <f>IF(OR(Cleaned_Data[[#This Row],[Discount]]&lt;0,Cleaned_Data[[#This Row],[Discount]]&gt;1),"Check discount","OK")</f>
        <v>OK</v>
      </c>
      <c r="U109" t="str">
        <f>IF(Cleaned_Data[[#This Row],[Current Price]]&gt;Cleaned_Data[[#This Row],[Old Price]],"Check prices","OK")</f>
        <v>OK</v>
      </c>
    </row>
    <row r="110" spans="1:21">
      <c r="A110" t="s">
        <v>315</v>
      </c>
      <c r="B110" s="8">
        <v>1768</v>
      </c>
      <c r="C110" s="8">
        <v>1799</v>
      </c>
      <c r="D110" s="7">
        <v>0.02</v>
      </c>
      <c r="G110">
        <f>Cleaned_Data[[#This Row],[Old Price]]-Cleaned_Data[[#This Row],[Current Price]]</f>
        <v>31</v>
      </c>
      <c r="H110" s="15" t="str">
        <f>IF(Cleaned_Data[[#This Row],[Rating]]="","Missing",IF(Cleaned_Data[[#This Row],[Rating]]&lt;3,"Poor",IF(Cleaned_Data[[#This Row],[Rating]]&lt;=4.5,"Average","Excellent")))</f>
        <v>Missing</v>
      </c>
      <c r="I110" s="15" t="str">
        <f>IF(
Cleaned_Data[[#This Row],[Discount]]="",
"Missing",
IF(
Cleaned_Data[[#This Row],[Discount]]&lt;20%,
"Low Discount",
IF(
Cleaned_Data[[#This Row],[Discount]]&lt;=40%,
"Medium Discount",
"High Discount"
)
)
)</f>
        <v>Low Discount</v>
      </c>
      <c r="J110" s="15" t="str">
        <f>IF(
Cleaned_Data[[#This Row],[Current Price]]="",
"Missing",
IF(
Cleaned_Data[[#This Row],[Current Price]]&lt;=Analysis!$B$3,
"Low Price",
IF(
Cleaned_Data[[#This Row],[Current Price]]&lt;=Analysis!$B$4,
"Medium Price",
"High Price"
)
)
)</f>
        <v>High Price</v>
      </c>
      <c r="K110" s="15" t="str">
        <f>IF(Cleaned_Data[[#This Row],[Review]]="","Missing",IF(Cleaned_Data[[#This Row],[Review]]&gt;=Engagement_Threshold,"Strong Engagement","Weak Engagement"))</f>
        <v>Missing</v>
      </c>
      <c r="L110" s="15" t="str">
        <f>IF(OR(Cleaned_Data[[#This Row],[Discount]]="",Cleaned_Data[[#This Row],[Rating]]=""),"Missing",IF(AND(Cleaned_Data[[#This Row],[Discount Category]]="High Discount",Cleaned_Data[[#This Row],[Rating Category]]="Poor"),"Flag","OK"))</f>
        <v>Missing</v>
      </c>
      <c r="M110" s="15" t="str">
        <f>IF(OR(Cleaned_Data[[#This Row],[Discount]]="",Cleaned_Data[[#This Row],[Review]]=""),"Missing",IF(AND(Cleaned_Data[[#This Row],[Discount Category]]="High Discount",Cleaned_Data[[#This Row],[Engagement]]="Weak Engagement"),"Flag","OK"))</f>
        <v>Missing</v>
      </c>
      <c r="N110" s="15" t="str">
        <f>IF(OR(Cleaned_Data[[#This Row],[Review]]="",Cleaned_Data[[#This Row],[Rating]]=""),"Missing",IF(AND(Cleaned_Data[[#This Row],[Engagement]]="Strong Engagement",Cleaned_Data[[#This Row],[Rating Category]]="Average"),"Flag","OK"))</f>
        <v>Missing</v>
      </c>
      <c r="O110" s="15" t="str">
        <f>IF(OR(Cleaned_Data[[#This Row],[Review]]="",Cleaned_Data[[#This Row],[Rating]]=""),"Missing",IF(AND(Cleaned_Data[[#This Row],[Engagement]]="Strong Engagement",Cleaned_Data[[#This Row],[Rating Category]]="Excellent"),"Flag","OK"))</f>
        <v>Missing</v>
      </c>
      <c r="P110" s="15" t="str">
        <f>IF(Cleaned_Data[[#This Row],[Rating]]="","Missing Rating","Has Rating")</f>
        <v>Missing Rating</v>
      </c>
      <c r="Q110" s="7">
        <f>IFERROR(
(Cleaned_Data[[#This Row],[Old Price]]-Cleaned_Data[[#This Row],[Current Price]])/Cleaned_Data[[#This Row],[Old Price]],
""
)</f>
        <v>1.7231795441912175E-2</v>
      </c>
      <c r="R110" s="7" t="str">
        <f>IF( Cleaned_Data[[#This Row],[Discount]] -
 Cleaned_Data[[#This Row],[Calculated Discount]]&gt;2%,
"Check",
"OK"
)</f>
        <v>OK</v>
      </c>
      <c r="S110" t="str">
        <f>IF(OR(Cleaned_Data[[#This Row],[Rating]]&lt;0,Cleaned_Data[[#This Row],[Rating]]&gt;5),"Check rating","OK")</f>
        <v>OK</v>
      </c>
      <c r="T110" t="str">
        <f>IF(OR(Cleaned_Data[[#This Row],[Discount]]&lt;0,Cleaned_Data[[#This Row],[Discount]]&gt;1),"Check discount","OK")</f>
        <v>OK</v>
      </c>
      <c r="U110" t="str">
        <f>IF(Cleaned_Data[[#This Row],[Current Price]]&gt;Cleaned_Data[[#This Row],[Old Price]],"Check prices","OK")</f>
        <v>OK</v>
      </c>
    </row>
    <row r="111" spans="1:21">
      <c r="A111" t="s">
        <v>317</v>
      </c>
      <c r="B111" s="8">
        <v>199</v>
      </c>
      <c r="C111" s="8">
        <v>553</v>
      </c>
      <c r="D111" s="7">
        <v>0.64</v>
      </c>
      <c r="G111">
        <f>Cleaned_Data[[#This Row],[Old Price]]-Cleaned_Data[[#This Row],[Current Price]]</f>
        <v>354</v>
      </c>
      <c r="H111" s="15" t="str">
        <f>IF(Cleaned_Data[[#This Row],[Rating]]="","Missing",IF(Cleaned_Data[[#This Row],[Rating]]&lt;3,"Poor",IF(Cleaned_Data[[#This Row],[Rating]]&lt;=4.5,"Average","Excellent")))</f>
        <v>Missing</v>
      </c>
      <c r="I111" s="15" t="str">
        <f>IF(
Cleaned_Data[[#This Row],[Discount]]="",
"Missing",
IF(
Cleaned_Data[[#This Row],[Discount]]&lt;20%,
"Low Discount",
IF(
Cleaned_Data[[#This Row],[Discount]]&lt;=40%,
"Medium Discount",
"High Discount"
)
)
)</f>
        <v>High Discount</v>
      </c>
      <c r="J111" s="15" t="str">
        <f>IF(
Cleaned_Data[[#This Row],[Current Price]]="",
"Missing",
IF(
Cleaned_Data[[#This Row],[Current Price]]&lt;=Analysis!$B$3,
"Low Price",
IF(
Cleaned_Data[[#This Row],[Current Price]]&lt;=Analysis!$B$4,
"Medium Price",
"High Price"
)
)
)</f>
        <v>Low Price</v>
      </c>
      <c r="K111" s="15" t="str">
        <f>IF(Cleaned_Data[[#This Row],[Review]]="","Missing",IF(Cleaned_Data[[#This Row],[Review]]&gt;=Engagement_Threshold,"Strong Engagement","Weak Engagement"))</f>
        <v>Missing</v>
      </c>
      <c r="L111" s="15" t="str">
        <f>IF(OR(Cleaned_Data[[#This Row],[Discount]]="",Cleaned_Data[[#This Row],[Rating]]=""),"Missing",IF(AND(Cleaned_Data[[#This Row],[Discount Category]]="High Discount",Cleaned_Data[[#This Row],[Rating Category]]="Poor"),"Flag","OK"))</f>
        <v>Missing</v>
      </c>
      <c r="M111" s="15" t="str">
        <f>IF(OR(Cleaned_Data[[#This Row],[Discount]]="",Cleaned_Data[[#This Row],[Review]]=""),"Missing",IF(AND(Cleaned_Data[[#This Row],[Discount Category]]="High Discount",Cleaned_Data[[#This Row],[Engagement]]="Weak Engagement"),"Flag","OK"))</f>
        <v>Missing</v>
      </c>
      <c r="N111" s="15" t="str">
        <f>IF(OR(Cleaned_Data[[#This Row],[Review]]="",Cleaned_Data[[#This Row],[Rating]]=""),"Missing",IF(AND(Cleaned_Data[[#This Row],[Engagement]]="Strong Engagement",Cleaned_Data[[#This Row],[Rating Category]]="Average"),"Flag","OK"))</f>
        <v>Missing</v>
      </c>
      <c r="O111" s="15" t="str">
        <f>IF(OR(Cleaned_Data[[#This Row],[Review]]="",Cleaned_Data[[#This Row],[Rating]]=""),"Missing",IF(AND(Cleaned_Data[[#This Row],[Engagement]]="Strong Engagement",Cleaned_Data[[#This Row],[Rating Category]]="Excellent"),"Flag","OK"))</f>
        <v>Missing</v>
      </c>
      <c r="P111" s="15" t="str">
        <f>IF(Cleaned_Data[[#This Row],[Rating]]="","Missing Rating","Has Rating")</f>
        <v>Missing Rating</v>
      </c>
      <c r="Q111" s="7">
        <f>IFERROR(
(Cleaned_Data[[#This Row],[Old Price]]-Cleaned_Data[[#This Row],[Current Price]])/Cleaned_Data[[#This Row],[Old Price]],
""
)</f>
        <v>0.64014466546112114</v>
      </c>
      <c r="R111" s="7" t="str">
        <f>IF( Cleaned_Data[[#This Row],[Discount]] -
 Cleaned_Data[[#This Row],[Calculated Discount]]&gt;2%,
"Check",
"OK"
)</f>
        <v>OK</v>
      </c>
      <c r="S111" t="str">
        <f>IF(OR(Cleaned_Data[[#This Row],[Rating]]&lt;0,Cleaned_Data[[#This Row],[Rating]]&gt;5),"Check rating","OK")</f>
        <v>OK</v>
      </c>
      <c r="T111" t="str">
        <f>IF(OR(Cleaned_Data[[#This Row],[Discount]]&lt;0,Cleaned_Data[[#This Row],[Discount]]&gt;1),"Check discount","OK")</f>
        <v>OK</v>
      </c>
      <c r="U111" t="str">
        <f>IF(Cleaned_Data[[#This Row],[Current Price]]&gt;Cleaned_Data[[#This Row],[Old Price]],"Check prices","OK")</f>
        <v>OK</v>
      </c>
    </row>
    <row r="112" spans="1:21">
      <c r="A112" t="s">
        <v>319</v>
      </c>
      <c r="B112" s="8">
        <v>450</v>
      </c>
      <c r="C112" s="8">
        <v>900</v>
      </c>
      <c r="D112" s="7">
        <v>0.5</v>
      </c>
      <c r="E112">
        <v>1</v>
      </c>
      <c r="F112">
        <v>2</v>
      </c>
      <c r="G112">
        <f>Cleaned_Data[[#This Row],[Old Price]]-Cleaned_Data[[#This Row],[Current Price]]</f>
        <v>450</v>
      </c>
      <c r="H112" s="15" t="str">
        <f>IF(Cleaned_Data[[#This Row],[Rating]]="","Missing",IF(Cleaned_Data[[#This Row],[Rating]]&lt;3,"Poor",IF(Cleaned_Data[[#This Row],[Rating]]&lt;=4.5,"Average","Excellent")))</f>
        <v>Poor</v>
      </c>
      <c r="I112" s="15" t="str">
        <f>IF(
Cleaned_Data[[#This Row],[Discount]]="",
"Missing",
IF(
Cleaned_Data[[#This Row],[Discount]]&lt;20%,
"Low Discount",
IF(
Cleaned_Data[[#This Row],[Discount]]&lt;=40%,
"Medium Discount",
"High Discount"
)
)
)</f>
        <v>High Discount</v>
      </c>
      <c r="J112" s="15" t="str">
        <f>IF(
Cleaned_Data[[#This Row],[Current Price]]="",
"Missing",
IF(
Cleaned_Data[[#This Row],[Current Price]]&lt;=Analysis!$B$3,
"Low Price",
IF(
Cleaned_Data[[#This Row],[Current Price]]&lt;=Analysis!$B$4,
"Medium Price",
"High Price"
)
)
)</f>
        <v>Low Price</v>
      </c>
      <c r="K112" s="15" t="str">
        <f>IF(Cleaned_Data[[#This Row],[Review]]="","Missing",IF(Cleaned_Data[[#This Row],[Review]]&gt;=Engagement_Threshold,"Strong Engagement","Weak Engagement"))</f>
        <v>Weak Engagement</v>
      </c>
      <c r="L112" s="15" t="str">
        <f>IF(OR(Cleaned_Data[[#This Row],[Discount]]="",Cleaned_Data[[#This Row],[Rating]]=""),"Missing",IF(AND(Cleaned_Data[[#This Row],[Discount Category]]="High Discount",Cleaned_Data[[#This Row],[Rating Category]]="Poor"),"Flag","OK"))</f>
        <v>Flag</v>
      </c>
      <c r="M112" s="15" t="str">
        <f>IF(OR(Cleaned_Data[[#This Row],[Discount]]="",Cleaned_Data[[#This Row],[Review]]=""),"Missing",IF(AND(Cleaned_Data[[#This Row],[Discount Category]]="High Discount",Cleaned_Data[[#This Row],[Engagement]]="Weak Engagement"),"Flag","OK"))</f>
        <v>Flag</v>
      </c>
      <c r="N112" s="15" t="str">
        <f>IF(OR(Cleaned_Data[[#This Row],[Review]]="",Cleaned_Data[[#This Row],[Rating]]=""),"Missing",IF(AND(Cleaned_Data[[#This Row],[Engagement]]="Strong Engagement",Cleaned_Data[[#This Row],[Rating Category]]="Average"),"Flag","OK"))</f>
        <v>OK</v>
      </c>
      <c r="O112" s="15" t="str">
        <f>IF(OR(Cleaned_Data[[#This Row],[Review]]="",Cleaned_Data[[#This Row],[Rating]]=""),"Missing",IF(AND(Cleaned_Data[[#This Row],[Engagement]]="Strong Engagement",Cleaned_Data[[#This Row],[Rating Category]]="Excellent"),"Flag","OK"))</f>
        <v>OK</v>
      </c>
      <c r="P112" s="15" t="str">
        <f>IF(Cleaned_Data[[#This Row],[Rating]]="","Missing Rating","Has Rating")</f>
        <v>Has Rating</v>
      </c>
      <c r="Q112" s="7">
        <f>IFERROR(
(Cleaned_Data[[#This Row],[Old Price]]-Cleaned_Data[[#This Row],[Current Price]])/Cleaned_Data[[#This Row],[Old Price]],
""
)</f>
        <v>0.5</v>
      </c>
      <c r="R112" s="7" t="str">
        <f>IF( Cleaned_Data[[#This Row],[Discount]] -
 Cleaned_Data[[#This Row],[Calculated Discount]]&gt;2%,
"Check",
"OK"
)</f>
        <v>OK</v>
      </c>
      <c r="S112" t="str">
        <f>IF(OR(Cleaned_Data[[#This Row],[Rating]]&lt;0,Cleaned_Data[[#This Row],[Rating]]&gt;5),"Check rating","OK")</f>
        <v>OK</v>
      </c>
      <c r="T112" t="str">
        <f>IF(OR(Cleaned_Data[[#This Row],[Discount]]&lt;0,Cleaned_Data[[#This Row],[Discount]]&gt;1),"Check discount","OK")</f>
        <v>OK</v>
      </c>
      <c r="U112" t="str">
        <f>IF(Cleaned_Data[[#This Row],[Current Price]]&gt;Cleaned_Data[[#This Row],[Old Price]],"Check prices","OK")</f>
        <v>OK</v>
      </c>
    </row>
    <row r="113" spans="1:21">
      <c r="A113" t="s">
        <v>321</v>
      </c>
      <c r="B113" s="8">
        <v>169</v>
      </c>
      <c r="C113" s="8">
        <v>320</v>
      </c>
      <c r="D113" s="7">
        <v>0.47</v>
      </c>
      <c r="G113">
        <f>Cleaned_Data[[#This Row],[Old Price]]-Cleaned_Data[[#This Row],[Current Price]]</f>
        <v>151</v>
      </c>
      <c r="H113" s="15" t="str">
        <f>IF(Cleaned_Data[[#This Row],[Rating]]="","Missing",IF(Cleaned_Data[[#This Row],[Rating]]&lt;3,"Poor",IF(Cleaned_Data[[#This Row],[Rating]]&lt;=4.5,"Average","Excellent")))</f>
        <v>Missing</v>
      </c>
      <c r="I113" s="15" t="str">
        <f>IF(
Cleaned_Data[[#This Row],[Discount]]="",
"Missing",
IF(
Cleaned_Data[[#This Row],[Discount]]&lt;20%,
"Low Discount",
IF(
Cleaned_Data[[#This Row],[Discount]]&lt;=40%,
"Medium Discount",
"High Discount"
)
)
)</f>
        <v>High Discount</v>
      </c>
      <c r="J113" s="15" t="str">
        <f>IF(
Cleaned_Data[[#This Row],[Current Price]]="",
"Missing",
IF(
Cleaned_Data[[#This Row],[Current Price]]&lt;=Analysis!$B$3,
"Low Price",
IF(
Cleaned_Data[[#This Row],[Current Price]]&lt;=Analysis!$B$4,
"Medium Price",
"High Price"
)
)
)</f>
        <v>Low Price</v>
      </c>
      <c r="K113" s="15" t="str">
        <f>IF(Cleaned_Data[[#This Row],[Review]]="","Missing",IF(Cleaned_Data[[#This Row],[Review]]&gt;=Engagement_Threshold,"Strong Engagement","Weak Engagement"))</f>
        <v>Missing</v>
      </c>
      <c r="L113" s="15" t="str">
        <f>IF(OR(Cleaned_Data[[#This Row],[Discount]]="",Cleaned_Data[[#This Row],[Rating]]=""),"Missing",IF(AND(Cleaned_Data[[#This Row],[Discount Category]]="High Discount",Cleaned_Data[[#This Row],[Rating Category]]="Poor"),"Flag","OK"))</f>
        <v>Missing</v>
      </c>
      <c r="M113" s="15" t="str">
        <f>IF(OR(Cleaned_Data[[#This Row],[Discount]]="",Cleaned_Data[[#This Row],[Review]]=""),"Missing",IF(AND(Cleaned_Data[[#This Row],[Discount Category]]="High Discount",Cleaned_Data[[#This Row],[Engagement]]="Weak Engagement"),"Flag","OK"))</f>
        <v>Missing</v>
      </c>
      <c r="N113" s="15" t="str">
        <f>IF(OR(Cleaned_Data[[#This Row],[Review]]="",Cleaned_Data[[#This Row],[Rating]]=""),"Missing",IF(AND(Cleaned_Data[[#This Row],[Engagement]]="Strong Engagement",Cleaned_Data[[#This Row],[Rating Category]]="Average"),"Flag","OK"))</f>
        <v>Missing</v>
      </c>
      <c r="O113" s="15" t="str">
        <f>IF(OR(Cleaned_Data[[#This Row],[Review]]="",Cleaned_Data[[#This Row],[Rating]]=""),"Missing",IF(AND(Cleaned_Data[[#This Row],[Engagement]]="Strong Engagement",Cleaned_Data[[#This Row],[Rating Category]]="Excellent"),"Flag","OK"))</f>
        <v>Missing</v>
      </c>
      <c r="P113" s="15" t="str">
        <f>IF(Cleaned_Data[[#This Row],[Rating]]="","Missing Rating","Has Rating")</f>
        <v>Missing Rating</v>
      </c>
      <c r="Q113" s="7">
        <f>IFERROR(
(Cleaned_Data[[#This Row],[Old Price]]-Cleaned_Data[[#This Row],[Current Price]])/Cleaned_Data[[#This Row],[Old Price]],
""
)</f>
        <v>0.47187499999999999</v>
      </c>
      <c r="R113" s="7" t="str">
        <f>IF( Cleaned_Data[[#This Row],[Discount]] -
 Cleaned_Data[[#This Row],[Calculated Discount]]&gt;2%,
"Check",
"OK"
)</f>
        <v>OK</v>
      </c>
      <c r="S113" t="str">
        <f>IF(OR(Cleaned_Data[[#This Row],[Rating]]&lt;0,Cleaned_Data[[#This Row],[Rating]]&gt;5),"Check rating","OK")</f>
        <v>OK</v>
      </c>
      <c r="T113" t="str">
        <f>IF(OR(Cleaned_Data[[#This Row],[Discount]]&lt;0,Cleaned_Data[[#This Row],[Discount]]&gt;1),"Check discount","OK")</f>
        <v>OK</v>
      </c>
      <c r="U113" t="str">
        <f>IF(Cleaned_Data[[#This Row],[Current Price]]&gt;Cleaned_Data[[#This Row],[Old Price]],"Check prices","OK")</f>
        <v>OK</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45FC-D2A8-434A-8AD0-983C6AC56844}">
  <dimension ref="A1:O113"/>
  <sheetViews>
    <sheetView workbookViewId="0"/>
  </sheetViews>
  <sheetFormatPr defaultRowHeight="15"/>
  <cols>
    <col min="1" max="1" width="23.85546875" customWidth="1"/>
    <col min="2" max="2" width="11.85546875" customWidth="1"/>
    <col min="5" max="5" width="27.7109375" customWidth="1"/>
    <col min="9" max="9" width="27.7109375" customWidth="1"/>
  </cols>
  <sheetData>
    <row r="1" spans="1:11" ht="18.75">
      <c r="A1" s="23" t="s">
        <v>404</v>
      </c>
    </row>
    <row r="2" spans="1:11">
      <c r="A2" s="16" t="s">
        <v>386</v>
      </c>
    </row>
    <row r="3" spans="1:11">
      <c r="A3" s="16" t="s">
        <v>387</v>
      </c>
      <c r="B3">
        <f>_xlfn.QUARTILE.INC(Cleaned_Data[Current Price],1)</f>
        <v>493</v>
      </c>
    </row>
    <row r="4" spans="1:11">
      <c r="A4" s="16" t="s">
        <v>388</v>
      </c>
      <c r="B4">
        <f>_xlfn.QUARTILE.INC(Cleaned_Data[Current Price],3)</f>
        <v>1669.5</v>
      </c>
    </row>
    <row r="5" spans="1:11">
      <c r="A5" s="16" t="s">
        <v>389</v>
      </c>
      <c r="B5">
        <f>_xlfn.PERCENTILE.INC(tblProducts!E2:E113,0.75)</f>
        <v>14</v>
      </c>
      <c r="K5" s="24"/>
    </row>
    <row r="7" spans="1:11" ht="15.75">
      <c r="A7" s="25" t="s">
        <v>405</v>
      </c>
    </row>
    <row r="8" spans="1:11">
      <c r="A8" s="26"/>
    </row>
    <row r="9" spans="1:11">
      <c r="A9" s="26" t="s">
        <v>409</v>
      </c>
      <c r="B9">
        <f>ROWS(Cleaned_Data[Product])</f>
        <v>112</v>
      </c>
    </row>
    <row r="10" spans="1:11">
      <c r="A10" s="26" t="s">
        <v>410</v>
      </c>
      <c r="B10" s="8">
        <f>AVERAGE(Cleaned_Data[Current Price])</f>
        <v>1186.8928571428571</v>
      </c>
    </row>
    <row r="11" spans="1:11">
      <c r="A11" t="s">
        <v>411</v>
      </c>
      <c r="B11" s="8">
        <f>AVERAGE(Cleaned_Data[Old Price])</f>
        <v>1811.1071428571429</v>
      </c>
    </row>
    <row r="12" spans="1:11">
      <c r="A12" t="s">
        <v>412</v>
      </c>
      <c r="B12" s="7">
        <f>AVERAGE(Cleaned_Data[Discount])</f>
        <v>0.36776785714285715</v>
      </c>
    </row>
    <row r="13" spans="1:11">
      <c r="A13" t="s">
        <v>413</v>
      </c>
      <c r="B13" s="37">
        <f>AVERAGE(Cleaned_Data[Rating])</f>
        <v>3.8894736842105258</v>
      </c>
    </row>
    <row r="14" spans="1:11">
      <c r="A14" t="s">
        <v>406</v>
      </c>
      <c r="B14">
        <f>SUM(Cleaned_Data[Review])</f>
        <v>723</v>
      </c>
    </row>
    <row r="15" spans="1:11">
      <c r="A15" t="s">
        <v>407</v>
      </c>
      <c r="B15">
        <f>MAX(Cleaned_Data[Current Price])</f>
        <v>3750</v>
      </c>
    </row>
    <row r="16" spans="1:11">
      <c r="A16" t="s">
        <v>408</v>
      </c>
      <c r="B16">
        <f>MIN(Cleaned_Data[Current Price])</f>
        <v>38</v>
      </c>
    </row>
    <row r="17" spans="1:5">
      <c r="A17" t="s">
        <v>414</v>
      </c>
      <c r="B17" t="str">
        <f>_xlfn.XLOOKUP(MAX(Cleaned_Data[Current Price]), Cleaned_Data[Current Price], Cleaned_Data[Product])</f>
        <v>32PCS Portable Cordless Drill Set With Cyclic Battery Drive -26 Variable Speed</v>
      </c>
    </row>
    <row r="18" spans="1:5">
      <c r="A18" t="s">
        <v>415</v>
      </c>
      <c r="B18" t="str">
        <f>_xlfn.XLOOKUP(MIN(Cleaned_Data[Current Price]), Cleaned_Data[Current Price], Cleaned_Data[Product])</f>
        <v>3PCS Single Head Knitting Crochet Sweater Needle Set</v>
      </c>
    </row>
    <row r="21" spans="1:5">
      <c r="A21" s="27" t="s">
        <v>416</v>
      </c>
    </row>
    <row r="22" spans="1:5">
      <c r="A22" s="27"/>
    </row>
    <row r="23" spans="1:5">
      <c r="A23" s="16" t="s">
        <v>417</v>
      </c>
      <c r="E23" s="16" t="s">
        <v>423</v>
      </c>
    </row>
    <row r="24" spans="1:5">
      <c r="A24">
        <f>CORREL(Cleaned_Data[Discount],Cleaned_Data[Review])</f>
        <v>-0.13682272428088296</v>
      </c>
      <c r="E24" t="s">
        <v>420</v>
      </c>
    </row>
    <row r="26" spans="1:5">
      <c r="A26" s="16" t="s">
        <v>418</v>
      </c>
      <c r="E26" t="s">
        <v>421</v>
      </c>
    </row>
    <row r="27" spans="1:5">
      <c r="A27">
        <f>CORREL(Cleaned_Data[Rating],Cleaned_Data[Review])</f>
        <v>5.7209035119876482E-2</v>
      </c>
    </row>
    <row r="28" spans="1:5">
      <c r="E28" t="s">
        <v>422</v>
      </c>
    </row>
    <row r="29" spans="1:5">
      <c r="A29" s="16" t="s">
        <v>419</v>
      </c>
    </row>
    <row r="30" spans="1:5">
      <c r="A30">
        <f>CORREL(Cleaned_Data[Current Price],Cleaned_Data[Rating])</f>
        <v>0.11009021272510708</v>
      </c>
    </row>
    <row r="33" spans="1:15">
      <c r="A33" s="27" t="s">
        <v>424</v>
      </c>
    </row>
    <row r="34" spans="1:15">
      <c r="A34" s="16" t="s">
        <v>417</v>
      </c>
      <c r="G34" s="16" t="s">
        <v>418</v>
      </c>
      <c r="O34" s="16" t="s">
        <v>419</v>
      </c>
    </row>
    <row r="52" spans="1:2">
      <c r="A52" s="29" t="s">
        <v>425</v>
      </c>
    </row>
    <row r="53" spans="1:2">
      <c r="A53" s="16" t="s">
        <v>426</v>
      </c>
      <c r="B53" s="28" t="s">
        <v>428</v>
      </c>
    </row>
    <row r="54" spans="1:2">
      <c r="A54" s="16" t="s">
        <v>427</v>
      </c>
      <c r="B54" s="28" t="s">
        <v>429</v>
      </c>
    </row>
    <row r="56" spans="1:2">
      <c r="A56" s="16" t="s">
        <v>430</v>
      </c>
    </row>
    <row r="57" spans="1:2">
      <c r="A57" s="28" t="s">
        <v>431</v>
      </c>
    </row>
    <row r="59" spans="1:2">
      <c r="A59" s="29" t="s">
        <v>441</v>
      </c>
    </row>
    <row r="60" spans="1:2">
      <c r="A60" s="16" t="s">
        <v>432</v>
      </c>
      <c r="B60" s="28" t="s">
        <v>434</v>
      </c>
    </row>
    <row r="61" spans="1:2">
      <c r="A61" s="16" t="s">
        <v>433</v>
      </c>
      <c r="B61" s="28" t="s">
        <v>435</v>
      </c>
    </row>
    <row r="63" spans="1:2">
      <c r="A63" s="16" t="s">
        <v>430</v>
      </c>
    </row>
    <row r="64" spans="1:2">
      <c r="A64" s="28" t="s">
        <v>436</v>
      </c>
    </row>
    <row r="66" spans="1:7">
      <c r="A66" s="29" t="s">
        <v>442</v>
      </c>
    </row>
    <row r="67" spans="1:7">
      <c r="A67" s="16" t="s">
        <v>437</v>
      </c>
      <c r="B67" s="28" t="s">
        <v>443</v>
      </c>
    </row>
    <row r="68" spans="1:7">
      <c r="A68" s="16" t="s">
        <v>438</v>
      </c>
      <c r="B68" s="28" t="s">
        <v>439</v>
      </c>
    </row>
    <row r="70" spans="1:7">
      <c r="A70" s="16" t="s">
        <v>430</v>
      </c>
    </row>
    <row r="71" spans="1:7">
      <c r="A71" s="28" t="s">
        <v>440</v>
      </c>
    </row>
    <row r="73" spans="1:7">
      <c r="A73" s="27" t="s">
        <v>447</v>
      </c>
    </row>
    <row r="74" spans="1:7">
      <c r="A74" s="16" t="s">
        <v>448</v>
      </c>
      <c r="E74" s="32" t="s">
        <v>452</v>
      </c>
    </row>
    <row r="75" spans="1:7" ht="29.45" customHeight="1">
      <c r="A75" s="30" t="s">
        <v>0</v>
      </c>
      <c r="B75" s="35" t="s">
        <v>446</v>
      </c>
      <c r="C75" s="11" t="s">
        <v>449</v>
      </c>
      <c r="E75" s="30" t="s">
        <v>450</v>
      </c>
      <c r="F75" t="s">
        <v>451</v>
      </c>
    </row>
    <row r="76" spans="1:7">
      <c r="A76" s="31" t="s">
        <v>56</v>
      </c>
      <c r="B76">
        <v>5</v>
      </c>
      <c r="C76">
        <v>2</v>
      </c>
    </row>
    <row r="77" spans="1:7">
      <c r="A77" s="31" t="s">
        <v>63</v>
      </c>
      <c r="B77">
        <v>5</v>
      </c>
      <c r="C77">
        <v>3</v>
      </c>
      <c r="E77" s="30" t="s">
        <v>0</v>
      </c>
      <c r="F77" s="30" t="s">
        <v>446</v>
      </c>
      <c r="G77" t="s">
        <v>449</v>
      </c>
    </row>
    <row r="78" spans="1:7">
      <c r="A78" s="31" t="s">
        <v>296</v>
      </c>
      <c r="B78">
        <v>5</v>
      </c>
      <c r="C78">
        <v>1</v>
      </c>
      <c r="E78" s="31" t="s">
        <v>319</v>
      </c>
      <c r="F78">
        <v>2</v>
      </c>
      <c r="G78">
        <v>1</v>
      </c>
    </row>
    <row r="79" spans="1:7">
      <c r="A79" s="31" t="s">
        <v>246</v>
      </c>
      <c r="B79">
        <v>5</v>
      </c>
      <c r="C79">
        <v>1</v>
      </c>
      <c r="E79" s="31" t="s">
        <v>191</v>
      </c>
      <c r="F79">
        <v>2.1</v>
      </c>
      <c r="G79">
        <v>13</v>
      </c>
    </row>
    <row r="80" spans="1:7">
      <c r="A80" s="31" t="s">
        <v>60</v>
      </c>
      <c r="B80">
        <v>5</v>
      </c>
      <c r="C80">
        <v>2</v>
      </c>
      <c r="E80" s="31" t="s">
        <v>230</v>
      </c>
      <c r="F80">
        <v>2.1</v>
      </c>
      <c r="G80">
        <v>7</v>
      </c>
    </row>
    <row r="81" spans="1:10">
      <c r="A81" s="31" t="s">
        <v>121</v>
      </c>
      <c r="B81">
        <v>5</v>
      </c>
      <c r="C81">
        <v>2</v>
      </c>
      <c r="E81" s="31" t="s">
        <v>207</v>
      </c>
      <c r="F81">
        <v>2.2000000000000002</v>
      </c>
      <c r="G81">
        <v>6</v>
      </c>
    </row>
    <row r="82" spans="1:10">
      <c r="A82" s="31" t="s">
        <v>118</v>
      </c>
      <c r="B82">
        <v>5</v>
      </c>
      <c r="C82">
        <v>1</v>
      </c>
      <c r="E82" s="31" t="s">
        <v>228</v>
      </c>
      <c r="F82">
        <v>2.2000000000000002</v>
      </c>
      <c r="G82">
        <v>6</v>
      </c>
    </row>
    <row r="83" spans="1:10">
      <c r="A83" s="31" t="s">
        <v>445</v>
      </c>
      <c r="B83">
        <v>5</v>
      </c>
      <c r="C83">
        <v>12</v>
      </c>
      <c r="E83" s="31" t="s">
        <v>445</v>
      </c>
      <c r="F83">
        <v>2.12</v>
      </c>
      <c r="G83">
        <v>33</v>
      </c>
    </row>
    <row r="84" spans="1:10">
      <c r="A84" s="31"/>
    </row>
    <row r="85" spans="1:10">
      <c r="A85" s="32" t="s">
        <v>453</v>
      </c>
      <c r="E85" s="16" t="s">
        <v>455</v>
      </c>
      <c r="I85" s="16" t="s">
        <v>456</v>
      </c>
    </row>
    <row r="86" spans="1:10" ht="30" customHeight="1">
      <c r="A86" s="30" t="s">
        <v>0</v>
      </c>
      <c r="B86" s="35" t="s">
        <v>454</v>
      </c>
      <c r="C86" s="11" t="s">
        <v>449</v>
      </c>
      <c r="E86" s="30" t="s">
        <v>0</v>
      </c>
      <c r="F86" t="s">
        <v>449</v>
      </c>
      <c r="I86" s="30" t="s">
        <v>0</v>
      </c>
      <c r="J86" t="s">
        <v>446</v>
      </c>
    </row>
    <row r="87" spans="1:10">
      <c r="A87" s="31" t="s">
        <v>317</v>
      </c>
      <c r="B87" s="33">
        <v>0.64</v>
      </c>
      <c r="E87" s="31" t="s">
        <v>195</v>
      </c>
      <c r="F87">
        <v>69</v>
      </c>
      <c r="I87" s="31" t="s">
        <v>121</v>
      </c>
      <c r="J87">
        <v>5</v>
      </c>
    </row>
    <row r="88" spans="1:10">
      <c r="A88" s="31" t="s">
        <v>191</v>
      </c>
      <c r="B88" s="33">
        <v>0.55000000000000004</v>
      </c>
      <c r="C88">
        <v>13</v>
      </c>
      <c r="E88" s="31" t="s">
        <v>30</v>
      </c>
      <c r="F88">
        <v>55</v>
      </c>
      <c r="I88" s="31" t="s">
        <v>63</v>
      </c>
      <c r="J88">
        <v>5</v>
      </c>
    </row>
    <row r="89" spans="1:10">
      <c r="A89" s="31" t="s">
        <v>155</v>
      </c>
      <c r="B89" s="33">
        <v>0.55000000000000004</v>
      </c>
      <c r="E89" s="31" t="s">
        <v>90</v>
      </c>
      <c r="F89">
        <v>49</v>
      </c>
      <c r="I89" s="31" t="s">
        <v>296</v>
      </c>
      <c r="J89">
        <v>5</v>
      </c>
    </row>
    <row r="90" spans="1:10">
      <c r="A90" s="31" t="s">
        <v>35</v>
      </c>
      <c r="B90" s="33">
        <v>0.55000000000000004</v>
      </c>
      <c r="C90">
        <v>5</v>
      </c>
      <c r="E90" s="31" t="s">
        <v>68</v>
      </c>
      <c r="F90">
        <v>44</v>
      </c>
      <c r="I90" s="31" t="s">
        <v>56</v>
      </c>
      <c r="J90">
        <v>5</v>
      </c>
    </row>
    <row r="91" spans="1:10">
      <c r="A91" s="31" t="s">
        <v>86</v>
      </c>
      <c r="B91" s="33">
        <v>0.54</v>
      </c>
      <c r="C91">
        <v>7</v>
      </c>
      <c r="E91" s="31" t="s">
        <v>44</v>
      </c>
      <c r="F91">
        <v>39</v>
      </c>
      <c r="I91" s="31" t="s">
        <v>60</v>
      </c>
      <c r="J91">
        <v>5</v>
      </c>
    </row>
    <row r="92" spans="1:10">
      <c r="A92" s="31" t="s">
        <v>187</v>
      </c>
      <c r="B92" s="33">
        <v>0.54</v>
      </c>
      <c r="C92">
        <v>10</v>
      </c>
      <c r="E92" s="31" t="s">
        <v>123</v>
      </c>
      <c r="F92">
        <v>36</v>
      </c>
      <c r="I92" s="31" t="s">
        <v>246</v>
      </c>
      <c r="J92">
        <v>5</v>
      </c>
    </row>
    <row r="93" spans="1:10">
      <c r="A93" s="31" t="s">
        <v>121</v>
      </c>
      <c r="B93" s="33">
        <v>0.53</v>
      </c>
      <c r="C93">
        <v>2</v>
      </c>
      <c r="E93" s="31" t="s">
        <v>115</v>
      </c>
      <c r="F93">
        <v>32</v>
      </c>
      <c r="I93" s="31" t="s">
        <v>118</v>
      </c>
      <c r="J93">
        <v>5</v>
      </c>
    </row>
    <row r="94" spans="1:10">
      <c r="A94" s="31" t="s">
        <v>71</v>
      </c>
      <c r="B94" s="33">
        <v>0.53</v>
      </c>
      <c r="C94">
        <v>13</v>
      </c>
      <c r="E94" s="31" t="s">
        <v>14</v>
      </c>
      <c r="F94">
        <v>24</v>
      </c>
      <c r="I94" s="31" t="s">
        <v>35</v>
      </c>
      <c r="J94">
        <v>4.8</v>
      </c>
    </row>
    <row r="95" spans="1:10">
      <c r="A95" s="31" t="s">
        <v>199</v>
      </c>
      <c r="B95" s="33">
        <v>0.52</v>
      </c>
      <c r="C95">
        <v>15</v>
      </c>
      <c r="E95" s="31" t="s">
        <v>112</v>
      </c>
      <c r="F95">
        <v>20</v>
      </c>
      <c r="I95" s="31" t="s">
        <v>22</v>
      </c>
      <c r="J95">
        <v>4.8</v>
      </c>
    </row>
    <row r="96" spans="1:10">
      <c r="A96" s="31" t="s">
        <v>103</v>
      </c>
      <c r="B96" s="33">
        <v>0.52</v>
      </c>
      <c r="C96">
        <v>9</v>
      </c>
      <c r="E96" s="31" t="s">
        <v>98</v>
      </c>
      <c r="F96">
        <v>20</v>
      </c>
      <c r="I96" s="31" t="s">
        <v>47</v>
      </c>
      <c r="J96">
        <v>4.8</v>
      </c>
    </row>
    <row r="97" spans="1:10">
      <c r="A97" s="31" t="s">
        <v>445</v>
      </c>
      <c r="B97" s="33">
        <v>0.54727272727272736</v>
      </c>
      <c r="C97">
        <v>74</v>
      </c>
      <c r="E97" s="31" t="s">
        <v>445</v>
      </c>
      <c r="F97">
        <v>388</v>
      </c>
      <c r="I97" s="31" t="s">
        <v>445</v>
      </c>
      <c r="J97">
        <v>4.9399999999999995</v>
      </c>
    </row>
    <row r="98" spans="1:10">
      <c r="A98" s="31"/>
      <c r="B98" s="33"/>
      <c r="E98" s="31"/>
      <c r="I98" s="31"/>
    </row>
    <row r="99" spans="1:10">
      <c r="A99" s="30" t="s">
        <v>385</v>
      </c>
      <c r="B99" t="s">
        <v>458</v>
      </c>
      <c r="E99" s="30" t="s">
        <v>385</v>
      </c>
      <c r="F99" t="s">
        <v>458</v>
      </c>
      <c r="I99" s="30" t="s">
        <v>383</v>
      </c>
      <c r="J99" t="s">
        <v>463</v>
      </c>
    </row>
    <row r="100" spans="1:10">
      <c r="A100" s="30" t="s">
        <v>383</v>
      </c>
      <c r="B100" t="s">
        <v>459</v>
      </c>
      <c r="E100" s="30" t="s">
        <v>390</v>
      </c>
      <c r="F100" t="s">
        <v>461</v>
      </c>
      <c r="I100" s="30" t="s">
        <v>390</v>
      </c>
      <c r="J100" t="s">
        <v>464</v>
      </c>
    </row>
    <row r="101" spans="1:10">
      <c r="A101" s="32" t="s">
        <v>457</v>
      </c>
      <c r="E101" s="32" t="s">
        <v>460</v>
      </c>
      <c r="I101" s="34" t="s">
        <v>462</v>
      </c>
    </row>
    <row r="102" spans="1:10">
      <c r="A102" s="30" t="s">
        <v>0</v>
      </c>
      <c r="B102" s="30" t="s">
        <v>454</v>
      </c>
      <c r="C102" t="s">
        <v>446</v>
      </c>
      <c r="E102" s="30" t="s">
        <v>0</v>
      </c>
      <c r="F102" s="30" t="s">
        <v>454</v>
      </c>
      <c r="G102" t="s">
        <v>449</v>
      </c>
      <c r="I102" s="30" t="s">
        <v>0</v>
      </c>
      <c r="J102" t="s">
        <v>449</v>
      </c>
    </row>
    <row r="103" spans="1:10">
      <c r="A103" s="31" t="s">
        <v>191</v>
      </c>
      <c r="B103" s="33">
        <v>0.55000000000000004</v>
      </c>
      <c r="C103">
        <v>2.1</v>
      </c>
      <c r="E103" s="31" t="s">
        <v>35</v>
      </c>
      <c r="F103" s="33">
        <v>0.55000000000000004</v>
      </c>
      <c r="G103">
        <v>5</v>
      </c>
      <c r="I103" s="31" t="s">
        <v>123</v>
      </c>
      <c r="J103">
        <v>36</v>
      </c>
    </row>
    <row r="104" spans="1:10">
      <c r="A104" s="31" t="s">
        <v>199</v>
      </c>
      <c r="B104" s="33">
        <v>0.52</v>
      </c>
      <c r="C104">
        <v>2.7</v>
      </c>
      <c r="E104" s="31" t="s">
        <v>191</v>
      </c>
      <c r="F104" s="33">
        <v>0.55000000000000004</v>
      </c>
      <c r="G104">
        <v>13</v>
      </c>
      <c r="I104" s="31" t="s">
        <v>115</v>
      </c>
      <c r="J104">
        <v>32</v>
      </c>
    </row>
    <row r="105" spans="1:10">
      <c r="A105" s="31" t="s">
        <v>210</v>
      </c>
      <c r="B105" s="33">
        <v>0.5</v>
      </c>
      <c r="C105">
        <v>2.2999999999999998</v>
      </c>
      <c r="E105" s="31" t="s">
        <v>187</v>
      </c>
      <c r="F105" s="33">
        <v>0.54</v>
      </c>
      <c r="G105">
        <v>10</v>
      </c>
      <c r="I105" s="31" t="s">
        <v>98</v>
      </c>
      <c r="J105">
        <v>20</v>
      </c>
    </row>
    <row r="106" spans="1:10">
      <c r="A106" s="31" t="s">
        <v>319</v>
      </c>
      <c r="B106" s="33">
        <v>0.5</v>
      </c>
      <c r="C106">
        <v>2</v>
      </c>
      <c r="E106" s="31" t="s">
        <v>86</v>
      </c>
      <c r="F106" s="33">
        <v>0.54</v>
      </c>
      <c r="G106">
        <v>7</v>
      </c>
      <c r="I106" s="31" t="s">
        <v>26</v>
      </c>
      <c r="J106">
        <v>15</v>
      </c>
    </row>
    <row r="107" spans="1:10">
      <c r="A107" s="31" t="s">
        <v>195</v>
      </c>
      <c r="B107" s="33">
        <v>0.49</v>
      </c>
      <c r="C107">
        <v>2.8</v>
      </c>
      <c r="E107" s="31" t="s">
        <v>71</v>
      </c>
      <c r="F107" s="33">
        <v>0.53</v>
      </c>
      <c r="G107">
        <v>13</v>
      </c>
      <c r="I107" s="31" t="s">
        <v>10</v>
      </c>
      <c r="J107">
        <v>14</v>
      </c>
    </row>
    <row r="108" spans="1:10">
      <c r="A108" s="31" t="s">
        <v>228</v>
      </c>
      <c r="B108" s="33">
        <v>0.47</v>
      </c>
      <c r="C108">
        <v>2.2000000000000002</v>
      </c>
      <c r="E108" s="31" t="s">
        <v>121</v>
      </c>
      <c r="F108" s="33">
        <v>0.53</v>
      </c>
      <c r="G108">
        <v>2</v>
      </c>
      <c r="I108" s="31" t="s">
        <v>82</v>
      </c>
      <c r="J108">
        <v>14</v>
      </c>
    </row>
    <row r="109" spans="1:10">
      <c r="A109" s="31" t="s">
        <v>230</v>
      </c>
      <c r="B109" s="33">
        <v>0.47</v>
      </c>
      <c r="C109">
        <v>2.1</v>
      </c>
      <c r="E109" s="31" t="s">
        <v>103</v>
      </c>
      <c r="F109" s="33">
        <v>0.52</v>
      </c>
      <c r="G109">
        <v>9</v>
      </c>
      <c r="I109" s="31" t="s">
        <v>445</v>
      </c>
      <c r="J109">
        <v>131</v>
      </c>
    </row>
    <row r="110" spans="1:10">
      <c r="A110" s="31" t="s">
        <v>216</v>
      </c>
      <c r="B110" s="33">
        <v>0.45</v>
      </c>
      <c r="C110">
        <v>2.6</v>
      </c>
      <c r="E110" s="31" t="s">
        <v>56</v>
      </c>
      <c r="F110" s="33">
        <v>0.51</v>
      </c>
      <c r="G110">
        <v>2</v>
      </c>
    </row>
    <row r="111" spans="1:10">
      <c r="A111" s="31" t="s">
        <v>207</v>
      </c>
      <c r="B111" s="33">
        <v>0.45</v>
      </c>
      <c r="C111">
        <v>2.2000000000000002</v>
      </c>
      <c r="E111" s="31" t="s">
        <v>319</v>
      </c>
      <c r="F111" s="33">
        <v>0.5</v>
      </c>
      <c r="G111">
        <v>1</v>
      </c>
    </row>
    <row r="112" spans="1:10">
      <c r="A112" s="31" t="s">
        <v>222</v>
      </c>
      <c r="B112" s="33">
        <v>0.43</v>
      </c>
      <c r="C112">
        <v>2.2999999999999998</v>
      </c>
      <c r="E112" s="31" t="s">
        <v>210</v>
      </c>
      <c r="F112" s="33">
        <v>0.5</v>
      </c>
      <c r="G112">
        <v>7</v>
      </c>
    </row>
    <row r="113" spans="1:7">
      <c r="A113" s="31" t="s">
        <v>445</v>
      </c>
      <c r="B113" s="33">
        <v>0.48299999999999998</v>
      </c>
      <c r="C113">
        <v>2.3300000000000005</v>
      </c>
      <c r="E113" s="31" t="s">
        <v>445</v>
      </c>
      <c r="F113" s="33">
        <v>0.52700000000000002</v>
      </c>
      <c r="G113">
        <v>69</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DAFD-2FC6-4D87-8808-620E499F9654}">
  <dimension ref="A1:O45"/>
  <sheetViews>
    <sheetView workbookViewId="0"/>
  </sheetViews>
  <sheetFormatPr defaultRowHeight="15"/>
  <cols>
    <col min="1" max="1" width="35.85546875" customWidth="1"/>
    <col min="2" max="3" width="15.140625" bestFit="1" customWidth="1"/>
    <col min="5" max="5" width="35.85546875" customWidth="1"/>
    <col min="6" max="7" width="12.85546875" bestFit="1" customWidth="1"/>
    <col min="9" max="9" width="35.85546875" customWidth="1"/>
    <col min="10" max="10" width="17.28515625" bestFit="1" customWidth="1"/>
    <col min="14" max="14" width="35.85546875" customWidth="1"/>
    <col min="15" max="15" width="12.85546875" bestFit="1" customWidth="1"/>
  </cols>
  <sheetData>
    <row r="1" spans="1:15">
      <c r="A1" s="27" t="s">
        <v>465</v>
      </c>
    </row>
    <row r="2" spans="1:15">
      <c r="A2" s="27"/>
    </row>
    <row r="3" spans="1:15">
      <c r="A3" s="27"/>
    </row>
    <row r="4" spans="1:15">
      <c r="A4" s="27"/>
    </row>
    <row r="5" spans="1:15">
      <c r="A5" s="27"/>
    </row>
    <row r="6" spans="1:15">
      <c r="A6" s="27"/>
    </row>
    <row r="7" spans="1:15">
      <c r="A7" s="27"/>
    </row>
    <row r="8" spans="1:15">
      <c r="A8" s="27"/>
    </row>
    <row r="9" spans="1:15">
      <c r="A9" s="27"/>
    </row>
    <row r="10" spans="1:15">
      <c r="A10" s="27"/>
    </row>
    <row r="11" spans="1:15">
      <c r="A11" s="16" t="s">
        <v>466</v>
      </c>
      <c r="E11" s="32" t="s">
        <v>470</v>
      </c>
      <c r="I11" s="16" t="s">
        <v>473</v>
      </c>
      <c r="N11" s="16" t="s">
        <v>477</v>
      </c>
    </row>
    <row r="12" spans="1:15" ht="13.9" customHeight="1"/>
    <row r="13" spans="1:15">
      <c r="A13" s="30" t="s">
        <v>383</v>
      </c>
      <c r="B13" t="s">
        <v>469</v>
      </c>
      <c r="E13" s="30" t="s">
        <v>481</v>
      </c>
      <c r="F13" t="s">
        <v>469</v>
      </c>
      <c r="I13" s="30" t="s">
        <v>386</v>
      </c>
      <c r="J13" t="s">
        <v>446</v>
      </c>
      <c r="N13" s="30" t="s">
        <v>444</v>
      </c>
      <c r="O13" t="s">
        <v>449</v>
      </c>
    </row>
    <row r="14" spans="1:15">
      <c r="A14" s="31" t="s">
        <v>463</v>
      </c>
      <c r="B14">
        <v>26</v>
      </c>
      <c r="E14" s="31" t="s">
        <v>458</v>
      </c>
      <c r="F14">
        <v>62</v>
      </c>
      <c r="I14" s="31" t="s">
        <v>474</v>
      </c>
      <c r="J14">
        <v>4.0842105263157888</v>
      </c>
      <c r="N14" s="31" t="s">
        <v>472</v>
      </c>
      <c r="O14">
        <v>351</v>
      </c>
    </row>
    <row r="15" spans="1:15">
      <c r="A15" s="31" t="s">
        <v>467</v>
      </c>
      <c r="B15">
        <v>19</v>
      </c>
      <c r="E15" s="31" t="s">
        <v>472</v>
      </c>
      <c r="F15">
        <v>32</v>
      </c>
      <c r="I15" s="31" t="s">
        <v>476</v>
      </c>
      <c r="J15">
        <v>3.8833333333333333</v>
      </c>
      <c r="N15" s="31" t="s">
        <v>458</v>
      </c>
      <c r="O15">
        <v>334</v>
      </c>
    </row>
    <row r="16" spans="1:15">
      <c r="A16" s="31" t="s">
        <v>468</v>
      </c>
      <c r="B16">
        <v>55</v>
      </c>
      <c r="E16" s="31" t="s">
        <v>471</v>
      </c>
      <c r="F16">
        <v>18</v>
      </c>
      <c r="I16" s="31" t="s">
        <v>475</v>
      </c>
      <c r="J16">
        <v>3.6357142857142857</v>
      </c>
      <c r="N16" s="31" t="s">
        <v>471</v>
      </c>
      <c r="O16">
        <v>38</v>
      </c>
    </row>
    <row r="17" spans="1:15">
      <c r="A17" s="31" t="s">
        <v>459</v>
      </c>
      <c r="B17">
        <v>12</v>
      </c>
      <c r="E17" s="31" t="s">
        <v>445</v>
      </c>
      <c r="F17">
        <v>112</v>
      </c>
      <c r="I17" s="31" t="s">
        <v>445</v>
      </c>
      <c r="J17">
        <v>3.8894736842105258</v>
      </c>
      <c r="N17" s="31" t="s">
        <v>445</v>
      </c>
      <c r="O17">
        <v>723</v>
      </c>
    </row>
    <row r="18" spans="1:15">
      <c r="A18" s="31" t="s">
        <v>445</v>
      </c>
      <c r="B18">
        <v>112</v>
      </c>
    </row>
    <row r="23" spans="1:15" ht="30" customHeight="1"/>
    <row r="32" spans="1:15">
      <c r="A32" s="16" t="s">
        <v>478</v>
      </c>
      <c r="B32" s="34"/>
      <c r="E32" s="16" t="s">
        <v>479</v>
      </c>
      <c r="I32" s="16" t="s">
        <v>480</v>
      </c>
    </row>
    <row r="34" spans="1:10">
      <c r="A34" s="30" t="s">
        <v>0</v>
      </c>
      <c r="B34" t="s">
        <v>446</v>
      </c>
      <c r="E34" s="30" t="s">
        <v>0</v>
      </c>
      <c r="F34" t="s">
        <v>449</v>
      </c>
      <c r="I34" s="30" t="s">
        <v>0</v>
      </c>
      <c r="J34" t="s">
        <v>454</v>
      </c>
    </row>
    <row r="35" spans="1:10">
      <c r="A35" s="31" t="s">
        <v>121</v>
      </c>
      <c r="B35">
        <v>5</v>
      </c>
      <c r="E35" s="31" t="s">
        <v>195</v>
      </c>
      <c r="F35">
        <v>69</v>
      </c>
      <c r="I35" s="31" t="s">
        <v>317</v>
      </c>
      <c r="J35" s="33">
        <v>0.64</v>
      </c>
    </row>
    <row r="36" spans="1:10">
      <c r="A36" s="31" t="s">
        <v>63</v>
      </c>
      <c r="B36">
        <v>5</v>
      </c>
      <c r="E36" s="31" t="s">
        <v>30</v>
      </c>
      <c r="F36">
        <v>55</v>
      </c>
      <c r="I36" s="31" t="s">
        <v>35</v>
      </c>
      <c r="J36" s="33">
        <v>0.55000000000000004</v>
      </c>
    </row>
    <row r="37" spans="1:10">
      <c r="A37" s="31" t="s">
        <v>296</v>
      </c>
      <c r="B37">
        <v>5</v>
      </c>
      <c r="E37" s="31" t="s">
        <v>90</v>
      </c>
      <c r="F37">
        <v>49</v>
      </c>
      <c r="I37" s="31" t="s">
        <v>191</v>
      </c>
      <c r="J37" s="33">
        <v>0.55000000000000004</v>
      </c>
    </row>
    <row r="38" spans="1:10">
      <c r="A38" s="31" t="s">
        <v>56</v>
      </c>
      <c r="B38">
        <v>5</v>
      </c>
      <c r="E38" s="31" t="s">
        <v>68</v>
      </c>
      <c r="F38">
        <v>44</v>
      </c>
      <c r="I38" s="31" t="s">
        <v>155</v>
      </c>
      <c r="J38" s="33">
        <v>0.55000000000000004</v>
      </c>
    </row>
    <row r="39" spans="1:10">
      <c r="A39" s="31" t="s">
        <v>60</v>
      </c>
      <c r="B39">
        <v>5</v>
      </c>
      <c r="E39" s="31" t="s">
        <v>44</v>
      </c>
      <c r="F39">
        <v>39</v>
      </c>
      <c r="I39" s="31" t="s">
        <v>86</v>
      </c>
      <c r="J39" s="33">
        <v>0.54</v>
      </c>
    </row>
    <row r="40" spans="1:10">
      <c r="A40" s="31" t="s">
        <v>246</v>
      </c>
      <c r="B40">
        <v>5</v>
      </c>
      <c r="E40" s="31" t="s">
        <v>123</v>
      </c>
      <c r="F40">
        <v>36</v>
      </c>
      <c r="I40" s="31" t="s">
        <v>187</v>
      </c>
      <c r="J40" s="33">
        <v>0.54</v>
      </c>
    </row>
    <row r="41" spans="1:10">
      <c r="A41" s="31" t="s">
        <v>118</v>
      </c>
      <c r="B41">
        <v>5</v>
      </c>
      <c r="E41" s="31" t="s">
        <v>115</v>
      </c>
      <c r="F41">
        <v>32</v>
      </c>
      <c r="I41" s="31" t="s">
        <v>121</v>
      </c>
      <c r="J41" s="33">
        <v>0.53</v>
      </c>
    </row>
    <row r="42" spans="1:10">
      <c r="A42" s="31" t="s">
        <v>35</v>
      </c>
      <c r="B42">
        <v>4.8</v>
      </c>
      <c r="E42" s="31" t="s">
        <v>14</v>
      </c>
      <c r="F42">
        <v>24</v>
      </c>
      <c r="I42" s="31" t="s">
        <v>71</v>
      </c>
      <c r="J42" s="33">
        <v>0.53</v>
      </c>
    </row>
    <row r="43" spans="1:10">
      <c r="A43" s="31" t="s">
        <v>22</v>
      </c>
      <c r="B43">
        <v>4.8</v>
      </c>
      <c r="E43" s="31" t="s">
        <v>112</v>
      </c>
      <c r="F43">
        <v>20</v>
      </c>
      <c r="I43" s="31" t="s">
        <v>103</v>
      </c>
      <c r="J43" s="33">
        <v>0.52</v>
      </c>
    </row>
    <row r="44" spans="1:10">
      <c r="A44" s="31" t="s">
        <v>47</v>
      </c>
      <c r="B44">
        <v>4.8</v>
      </c>
      <c r="E44" s="31" t="s">
        <v>98</v>
      </c>
      <c r="F44">
        <v>20</v>
      </c>
      <c r="I44" s="31" t="s">
        <v>199</v>
      </c>
      <c r="J44" s="33">
        <v>0.52</v>
      </c>
    </row>
    <row r="45" spans="1:10">
      <c r="A45" s="31" t="s">
        <v>445</v>
      </c>
      <c r="B45">
        <v>4.9399999999999995</v>
      </c>
      <c r="E45" s="31" t="s">
        <v>445</v>
      </c>
      <c r="F45">
        <v>388</v>
      </c>
      <c r="I45" s="31" t="s">
        <v>445</v>
      </c>
      <c r="J45" s="33">
        <v>0.54727272727272724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2986-C006-418B-8255-4A8D8F411B06}">
  <dimension ref="A8:N48"/>
  <sheetViews>
    <sheetView showGridLines="0" tabSelected="1" zoomScale="99" zoomScaleNormal="99" workbookViewId="0">
      <selection activeCell="I3" sqref="I3"/>
    </sheetView>
  </sheetViews>
  <sheetFormatPr defaultRowHeight="15"/>
  <cols>
    <col min="1" max="1" width="35.5703125" customWidth="1"/>
    <col min="4" max="4" width="35.5703125" customWidth="1"/>
    <col min="7" max="7" width="35.5703125" customWidth="1"/>
  </cols>
  <sheetData>
    <row r="8" spans="1:8" ht="15.75">
      <c r="A8" s="36" t="s">
        <v>483</v>
      </c>
      <c r="D8" s="36" t="s">
        <v>484</v>
      </c>
      <c r="G8" s="36" t="s">
        <v>453</v>
      </c>
    </row>
    <row r="9" spans="1:8" s="11" customFormat="1">
      <c r="A9" s="35" t="s">
        <v>0</v>
      </c>
      <c r="B9" s="15" t="s">
        <v>446</v>
      </c>
      <c r="D9" s="35" t="s">
        <v>0</v>
      </c>
      <c r="E9" s="15" t="s">
        <v>449</v>
      </c>
      <c r="G9" s="35" t="s">
        <v>0</v>
      </c>
      <c r="H9" s="15" t="s">
        <v>482</v>
      </c>
    </row>
    <row r="10" spans="1:8">
      <c r="A10" s="31" t="s">
        <v>121</v>
      </c>
      <c r="B10">
        <v>5</v>
      </c>
      <c r="D10" s="31" t="s">
        <v>195</v>
      </c>
      <c r="E10">
        <v>69</v>
      </c>
      <c r="G10" s="31" t="s">
        <v>317</v>
      </c>
      <c r="H10" s="33">
        <v>0.64</v>
      </c>
    </row>
    <row r="11" spans="1:8">
      <c r="A11" s="31" t="s">
        <v>63</v>
      </c>
      <c r="B11">
        <v>5</v>
      </c>
      <c r="D11" s="31" t="s">
        <v>30</v>
      </c>
      <c r="E11">
        <v>55</v>
      </c>
      <c r="G11" s="31" t="s">
        <v>35</v>
      </c>
      <c r="H11" s="33">
        <v>0.55000000000000004</v>
      </c>
    </row>
    <row r="12" spans="1:8">
      <c r="A12" s="31" t="s">
        <v>296</v>
      </c>
      <c r="B12">
        <v>5</v>
      </c>
      <c r="D12" s="31" t="s">
        <v>90</v>
      </c>
      <c r="E12">
        <v>49</v>
      </c>
      <c r="G12" s="31" t="s">
        <v>191</v>
      </c>
      <c r="H12" s="33">
        <v>0.55000000000000004</v>
      </c>
    </row>
    <row r="13" spans="1:8">
      <c r="A13" s="31" t="s">
        <v>56</v>
      </c>
      <c r="B13">
        <v>5</v>
      </c>
      <c r="D13" s="31" t="s">
        <v>68</v>
      </c>
      <c r="E13">
        <v>44</v>
      </c>
      <c r="G13" s="31" t="s">
        <v>155</v>
      </c>
      <c r="H13" s="33">
        <v>0.55000000000000004</v>
      </c>
    </row>
    <row r="14" spans="1:8">
      <c r="A14" s="31" t="s">
        <v>60</v>
      </c>
      <c r="B14">
        <v>5</v>
      </c>
      <c r="D14" s="31" t="s">
        <v>44</v>
      </c>
      <c r="E14">
        <v>39</v>
      </c>
      <c r="G14" s="31" t="s">
        <v>86</v>
      </c>
      <c r="H14" s="33">
        <v>0.54</v>
      </c>
    </row>
    <row r="15" spans="1:8">
      <c r="A15" s="31" t="s">
        <v>246</v>
      </c>
      <c r="B15">
        <v>5</v>
      </c>
      <c r="D15" s="31" t="s">
        <v>123</v>
      </c>
      <c r="E15">
        <v>36</v>
      </c>
      <c r="G15" s="31" t="s">
        <v>187</v>
      </c>
      <c r="H15" s="33">
        <v>0.54</v>
      </c>
    </row>
    <row r="16" spans="1:8">
      <c r="A16" s="31" t="s">
        <v>118</v>
      </c>
      <c r="B16">
        <v>5</v>
      </c>
      <c r="D16" s="31" t="s">
        <v>115</v>
      </c>
      <c r="E16">
        <v>32</v>
      </c>
      <c r="G16" s="31" t="s">
        <v>121</v>
      </c>
      <c r="H16" s="33">
        <v>0.53</v>
      </c>
    </row>
    <row r="17" spans="1:14">
      <c r="A17" s="31" t="s">
        <v>35</v>
      </c>
      <c r="B17">
        <v>4.8</v>
      </c>
      <c r="D17" s="31" t="s">
        <v>14</v>
      </c>
      <c r="E17">
        <v>24</v>
      </c>
      <c r="G17" s="31" t="s">
        <v>71</v>
      </c>
      <c r="H17" s="33">
        <v>0.53</v>
      </c>
    </row>
    <row r="18" spans="1:14">
      <c r="A18" s="31" t="s">
        <v>22</v>
      </c>
      <c r="B18">
        <v>4.8</v>
      </c>
      <c r="D18" s="31" t="s">
        <v>112</v>
      </c>
      <c r="E18">
        <v>20</v>
      </c>
      <c r="G18" s="31" t="s">
        <v>103</v>
      </c>
      <c r="H18" s="33">
        <v>0.52</v>
      </c>
    </row>
    <row r="19" spans="1:14">
      <c r="A19" s="31" t="s">
        <v>47</v>
      </c>
      <c r="B19">
        <v>4.8</v>
      </c>
      <c r="D19" s="31" t="s">
        <v>98</v>
      </c>
      <c r="E19">
        <v>20</v>
      </c>
      <c r="G19" s="31" t="s">
        <v>199</v>
      </c>
      <c r="H19" s="33">
        <v>0.52</v>
      </c>
    </row>
    <row r="20" spans="1:14">
      <c r="A20" s="31" t="s">
        <v>445</v>
      </c>
      <c r="B20">
        <v>4.9399999999999995</v>
      </c>
      <c r="D20" s="31" t="s">
        <v>445</v>
      </c>
      <c r="E20">
        <v>388</v>
      </c>
      <c r="G20" s="31" t="s">
        <v>445</v>
      </c>
      <c r="H20" s="33">
        <v>0.54727272727272724</v>
      </c>
    </row>
    <row r="22" spans="1:14">
      <c r="J22" s="38" t="s">
        <v>488</v>
      </c>
      <c r="K22" s="38"/>
      <c r="L22" s="38"/>
      <c r="M22" s="38"/>
      <c r="N22" s="38"/>
    </row>
    <row r="23" spans="1:14">
      <c r="J23" s="38"/>
      <c r="K23" s="38"/>
      <c r="L23" s="38"/>
      <c r="M23" s="38"/>
      <c r="N23" s="38"/>
    </row>
    <row r="24" spans="1:14">
      <c r="J24" s="38"/>
      <c r="K24" s="38"/>
      <c r="L24" s="38"/>
      <c r="M24" s="38"/>
      <c r="N24" s="38"/>
    </row>
    <row r="25" spans="1:14">
      <c r="J25" s="38"/>
      <c r="K25" s="38"/>
      <c r="L25" s="38"/>
      <c r="M25" s="38"/>
      <c r="N25" s="38"/>
    </row>
    <row r="26" spans="1:14">
      <c r="J26" s="38"/>
      <c r="K26" s="38"/>
      <c r="L26" s="38"/>
      <c r="M26" s="38"/>
      <c r="N26" s="38"/>
    </row>
    <row r="27" spans="1:14">
      <c r="J27" s="38"/>
      <c r="K27" s="38"/>
      <c r="L27" s="38"/>
      <c r="M27" s="38"/>
      <c r="N27" s="38"/>
    </row>
    <row r="28" spans="1:14">
      <c r="J28" s="38"/>
      <c r="K28" s="38"/>
      <c r="L28" s="38"/>
      <c r="M28" s="38"/>
      <c r="N28" s="38"/>
    </row>
    <row r="29" spans="1:14">
      <c r="J29" s="38"/>
      <c r="K29" s="38"/>
      <c r="L29" s="38"/>
      <c r="M29" s="38"/>
      <c r="N29" s="38"/>
    </row>
    <row r="30" spans="1:14">
      <c r="J30" s="38"/>
      <c r="K30" s="38"/>
      <c r="L30" s="38"/>
      <c r="M30" s="38"/>
      <c r="N30" s="38"/>
    </row>
    <row r="31" spans="1:14">
      <c r="J31" s="38"/>
      <c r="K31" s="38"/>
      <c r="L31" s="38"/>
      <c r="M31" s="38"/>
      <c r="N31" s="38"/>
    </row>
    <row r="32" spans="1:14">
      <c r="J32" s="38"/>
      <c r="K32" s="38"/>
      <c r="L32" s="38"/>
      <c r="M32" s="38"/>
      <c r="N32" s="38"/>
    </row>
    <row r="33" spans="1:14">
      <c r="J33" s="38"/>
      <c r="K33" s="38"/>
      <c r="L33" s="38"/>
      <c r="M33" s="38"/>
      <c r="N33" s="38"/>
    </row>
    <row r="34" spans="1:14">
      <c r="A34" s="16" t="s">
        <v>485</v>
      </c>
      <c r="D34" s="16" t="s">
        <v>486</v>
      </c>
      <c r="H34" s="16" t="s">
        <v>487</v>
      </c>
    </row>
    <row r="35" spans="1:14">
      <c r="H35" s="38"/>
      <c r="I35" s="39"/>
      <c r="J35" s="39"/>
      <c r="K35" s="39"/>
      <c r="L35" s="39"/>
      <c r="M35" s="39"/>
      <c r="N35" s="39"/>
    </row>
    <row r="36" spans="1:14">
      <c r="H36" s="39"/>
      <c r="I36" s="39"/>
      <c r="J36" s="39"/>
      <c r="K36" s="39"/>
      <c r="L36" s="39"/>
      <c r="M36" s="39"/>
      <c r="N36" s="39"/>
    </row>
    <row r="37" spans="1:14">
      <c r="H37" s="39"/>
      <c r="I37" s="39"/>
      <c r="J37" s="39"/>
      <c r="K37" s="39"/>
      <c r="L37" s="39"/>
      <c r="M37" s="39"/>
      <c r="N37" s="39"/>
    </row>
    <row r="38" spans="1:14">
      <c r="H38" s="39"/>
      <c r="I38" s="39"/>
      <c r="J38" s="39"/>
      <c r="K38" s="39"/>
      <c r="L38" s="39"/>
      <c r="M38" s="39"/>
      <c r="N38" s="39"/>
    </row>
    <row r="39" spans="1:14">
      <c r="H39" s="39"/>
      <c r="I39" s="39"/>
      <c r="J39" s="39"/>
      <c r="K39" s="39"/>
      <c r="L39" s="39"/>
      <c r="M39" s="39"/>
      <c r="N39" s="39"/>
    </row>
    <row r="40" spans="1:14">
      <c r="H40" s="39"/>
      <c r="I40" s="39"/>
      <c r="J40" s="39"/>
      <c r="K40" s="39"/>
      <c r="L40" s="39"/>
      <c r="M40" s="39"/>
      <c r="N40" s="39"/>
    </row>
    <row r="41" spans="1:14">
      <c r="H41" s="39"/>
      <c r="I41" s="39"/>
      <c r="J41" s="39"/>
      <c r="K41" s="39"/>
      <c r="L41" s="39"/>
      <c r="M41" s="39"/>
      <c r="N41" s="39"/>
    </row>
    <row r="42" spans="1:14">
      <c r="H42" s="39"/>
      <c r="I42" s="39"/>
      <c r="J42" s="39"/>
      <c r="K42" s="39"/>
      <c r="L42" s="39"/>
      <c r="M42" s="39"/>
      <c r="N42" s="39"/>
    </row>
    <row r="43" spans="1:14">
      <c r="H43" s="39"/>
      <c r="I43" s="39"/>
      <c r="J43" s="39"/>
      <c r="K43" s="39"/>
      <c r="L43" s="39"/>
      <c r="M43" s="39"/>
      <c r="N43" s="39"/>
    </row>
    <row r="44" spans="1:14">
      <c r="H44" s="39"/>
      <c r="I44" s="39"/>
      <c r="J44" s="39"/>
      <c r="K44" s="39"/>
      <c r="L44" s="39"/>
      <c r="M44" s="39"/>
      <c r="N44" s="39"/>
    </row>
    <row r="45" spans="1:14">
      <c r="H45" s="39"/>
      <c r="I45" s="39"/>
      <c r="J45" s="39"/>
      <c r="K45" s="39"/>
      <c r="L45" s="39"/>
      <c r="M45" s="39"/>
      <c r="N45" s="39"/>
    </row>
    <row r="46" spans="1:14">
      <c r="H46" s="39"/>
      <c r="I46" s="39"/>
      <c r="J46" s="39"/>
      <c r="K46" s="39"/>
      <c r="L46" s="39"/>
      <c r="M46" s="39"/>
      <c r="N46" s="39"/>
    </row>
    <row r="47" spans="1:14">
      <c r="H47" s="39"/>
      <c r="I47" s="39"/>
      <c r="J47" s="39"/>
      <c r="K47" s="39"/>
      <c r="L47" s="39"/>
      <c r="M47" s="39"/>
      <c r="N47" s="39"/>
    </row>
    <row r="48" spans="1:14">
      <c r="H48" s="39"/>
      <c r="I48" s="39"/>
      <c r="J48" s="39"/>
      <c r="K48" s="39"/>
      <c r="L48" s="39"/>
      <c r="M48" s="39"/>
      <c r="N48" s="39"/>
    </row>
  </sheetData>
  <mergeCells count="2">
    <mergeCell ref="H35:N48"/>
    <mergeCell ref="J22:N33"/>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374C6-C6B6-4D59-9B00-E6F5D2EA62AA}">
  <dimension ref="A1:I50"/>
  <sheetViews>
    <sheetView workbookViewId="0">
      <selection sqref="A1:H1"/>
    </sheetView>
  </sheetViews>
  <sheetFormatPr defaultColWidth="8.85546875" defaultRowHeight="15.6" customHeight="1"/>
  <cols>
    <col min="1" max="1" width="11.140625" style="3" customWidth="1"/>
    <col min="2" max="2" width="20.28515625" style="3" customWidth="1"/>
    <col min="3" max="3" width="16.85546875" style="3" customWidth="1"/>
    <col min="4" max="4" width="19.28515625" style="3" customWidth="1"/>
    <col min="5" max="5" width="20.85546875" style="3" customWidth="1"/>
    <col min="6" max="6" width="20" style="3" customWidth="1"/>
    <col min="7" max="16384" width="8.85546875" style="3"/>
  </cols>
  <sheetData>
    <row r="1" spans="1:8" ht="40.9" customHeight="1">
      <c r="A1" s="40" t="s">
        <v>403</v>
      </c>
      <c r="B1" s="41"/>
      <c r="C1" s="41"/>
      <c r="D1" s="41"/>
      <c r="E1" s="41"/>
      <c r="F1" s="41"/>
      <c r="G1" s="41"/>
      <c r="H1" s="41"/>
    </row>
    <row r="2" spans="1:8" ht="15.6" customHeight="1">
      <c r="A2" s="3" t="s">
        <v>324</v>
      </c>
      <c r="C2" s="3">
        <f>ROWS(Excel_jumia_dataset[Product])</f>
        <v>115</v>
      </c>
    </row>
    <row r="3" spans="1:8" ht="15.6" customHeight="1">
      <c r="A3" s="3" t="s">
        <v>325</v>
      </c>
      <c r="C3" s="3">
        <f>COLUMNS(Excel_jumia_dataset[])</f>
        <v>6</v>
      </c>
    </row>
    <row r="4" spans="1:8" ht="15.6" customHeight="1">
      <c r="A4" s="3" t="s">
        <v>326</v>
      </c>
      <c r="C4" s="3">
        <f>COUNTBLANK(Excel_jumia_dataset[Product])</f>
        <v>0</v>
      </c>
    </row>
    <row r="5" spans="1:8" ht="15.6" customHeight="1">
      <c r="A5" s="3" t="s">
        <v>327</v>
      </c>
      <c r="C5" s="2">
        <f>COUNTBLANK(Excel_jumia_dataset[Current price])</f>
        <v>0</v>
      </c>
      <c r="D5" s="1"/>
    </row>
    <row r="6" spans="1:8" ht="15.6" customHeight="1">
      <c r="A6" s="3" t="s">
        <v>328</v>
      </c>
      <c r="C6" s="2">
        <f>COUNTBLANK(Excel_jumia_dataset[old price])</f>
        <v>0</v>
      </c>
      <c r="D6" s="1"/>
    </row>
    <row r="7" spans="1:8" ht="15.6" customHeight="1">
      <c r="A7" s="3" t="s">
        <v>329</v>
      </c>
      <c r="C7" s="2">
        <f>COUNTBLANK(Excel_jumia_dataset[Discount])</f>
        <v>0</v>
      </c>
      <c r="D7" s="1"/>
    </row>
    <row r="8" spans="1:8" ht="15.6" customHeight="1">
      <c r="A8" s="3" t="s">
        <v>330</v>
      </c>
      <c r="C8" s="2">
        <f>COUNTBLANK(Excel_jumia_dataset[Review])</f>
        <v>58</v>
      </c>
      <c r="D8" s="1"/>
    </row>
    <row r="9" spans="1:8" ht="15.6" customHeight="1">
      <c r="A9" s="3" t="s">
        <v>331</v>
      </c>
      <c r="C9" s="2">
        <f>COUNTBLANK(Excel_jumia_dataset[Ratingd])</f>
        <v>58</v>
      </c>
    </row>
    <row r="10" spans="1:8" ht="15.6" customHeight="1">
      <c r="A10" s="3" t="s">
        <v>332</v>
      </c>
      <c r="C10" s="3">
        <f>ROWS(Excel_jumia_dataset[Product])-ROWS(Cleaned_Data[Product])</f>
        <v>3</v>
      </c>
    </row>
    <row r="11" spans="1:8" ht="15.6" customHeight="1">
      <c r="A11" s="3" t="s">
        <v>333</v>
      </c>
      <c r="C11" s="3" cm="1">
        <f t="array" ref="C11">SUMPRODUCT(--NOT(ISNUMBER(IFERROR(VALUE(SUBSTITUTE(SUBSTITUTE(Excel_jumia_dataset[Current price],"KSh",""),",","")),"X"))))</f>
        <v>1</v>
      </c>
    </row>
    <row r="12" spans="1:8" ht="15.6" customHeight="1">
      <c r="A12" s="3" t="s">
        <v>334</v>
      </c>
      <c r="C12" s="3" cm="1">
        <f t="array" ref="C12">SUMPRODUCT(--NOT(ISNUMBER(IFERROR(VALUE(SUBSTITUTE(SUBSTITUTE(Excel_jumia_dataset[old price],"KSh",""),",","")),"X"))))</f>
        <v>1</v>
      </c>
    </row>
    <row r="13" spans="1:8" ht="15.6" customHeight="1">
      <c r="A13" s="3" t="s">
        <v>335</v>
      </c>
      <c r="C13" s="3" cm="1">
        <f t="array" ref="C13">SUMPRODUCT(--NOT(ISNUMBER(IFERROR(VALUE(SUBSTITUTE(Excel_jumia_dataset[Discount],"%","")),"X"))))</f>
        <v>0</v>
      </c>
    </row>
    <row r="14" spans="1:8" ht="15.6" customHeight="1">
      <c r="A14" s="3" t="s">
        <v>336</v>
      </c>
      <c r="C14" s="3" cm="1">
        <f t="array" ref="C14">SUMPRODUCT(--NOT(ISNUMBER(IFERROR(VALUE('Raw data'!E2:E116),"X"))))</f>
        <v>0</v>
      </c>
    </row>
    <row r="15" spans="1:8" ht="15.6" customHeight="1">
      <c r="A15" s="3" t="s">
        <v>337</v>
      </c>
      <c r="C15" s="3" cm="1">
        <f t="array" ref="C15">SUMPRODUCT(--NOT(ISNUMBER(IFERROR(VALUE(SUBSTITUTE(Excel_jumia_dataset[Ratingd]," out of 5","")),"X"))))</f>
        <v>58</v>
      </c>
    </row>
    <row r="16" spans="1:8" ht="15.6" customHeight="1">
      <c r="A16" s="3" t="s">
        <v>338</v>
      </c>
      <c r="C16" s="3" cm="1">
        <f t="array" ref="C16">SUMPRODUCT((IFERROR(VALUE(SUBSTITUTE(Excel_jumia_dataset[Ratingd]," out of 5","")),-999)&lt;0)*(Excel_jumia_dataset[Ratingd]&lt;&gt;"")) + SUMPRODUCT((IFERROR(VALUE(SUBSTITUTE(Excel_jumia_dataset[Ratingd]," out of 5","")),-999)&gt;5)*(Excel_jumia_dataset[Ratingd]&lt;&gt;""))</f>
        <v>0</v>
      </c>
    </row>
    <row r="17" spans="1:9" ht="15.6" customHeight="1">
      <c r="A17" s="3" t="s">
        <v>339</v>
      </c>
      <c r="C17" s="3">
        <f>COUNTIF(Excel_jumia_dataset[Discount],"&lt;0")
+
COUNTIF(Excel_jumia_dataset[Discount],"&gt;1")</f>
        <v>0</v>
      </c>
    </row>
    <row r="18" spans="1:9" ht="15.6" customHeight="1">
      <c r="A18" s="3" t="s">
        <v>340</v>
      </c>
      <c r="C18" s="3">
        <f>COUNTIF(Excel_jumia_dataset[Review],"&lt;0")</f>
        <v>57</v>
      </c>
    </row>
    <row r="19" spans="1:9" ht="15.6" customHeight="1">
      <c r="A19" s="3" t="s">
        <v>341</v>
      </c>
      <c r="C19" s="3" cm="1">
        <f t="array" ref="C19">SUMPRODUCT((Excel_jumia_dataset[Current price]&gt;Excel_jumia_dataset[old price])*1)</f>
        <v>26</v>
      </c>
    </row>
    <row r="20" spans="1:9" ht="15.6" customHeight="1">
      <c r="A20" s="3" t="s">
        <v>342</v>
      </c>
      <c r="C20" s="3" cm="1">
        <f t="array" ref="C20">SUMPRODUCT(--ISNUMBER(SEARCH("-",Excel_jumia_dataset[[Current price]:[old price]])))</f>
        <v>2</v>
      </c>
    </row>
    <row r="22" spans="1:9" ht="15.6" customHeight="1">
      <c r="A22" s="10" t="s">
        <v>343</v>
      </c>
      <c r="B22" s="4" t="s">
        <v>344</v>
      </c>
      <c r="C22" s="6" t="s">
        <v>345</v>
      </c>
      <c r="D22" s="10" t="s">
        <v>346</v>
      </c>
      <c r="E22" s="10" t="s">
        <v>347</v>
      </c>
    </row>
    <row r="23" spans="1:9" ht="15.6" customHeight="1">
      <c r="A23" s="3">
        <v>1</v>
      </c>
      <c r="B23" s="1" t="s">
        <v>348</v>
      </c>
      <c r="C23" s="5" t="s">
        <v>349</v>
      </c>
      <c r="D23" s="3" t="s">
        <v>350</v>
      </c>
      <c r="E23" s="3" t="s">
        <v>351</v>
      </c>
    </row>
    <row r="24" spans="1:9" ht="15.6" customHeight="1">
      <c r="A24" s="3">
        <v>2</v>
      </c>
      <c r="B24" s="1" t="s">
        <v>371</v>
      </c>
      <c r="C24" s="5">
        <v>2</v>
      </c>
      <c r="D24" s="3" t="s">
        <v>372</v>
      </c>
      <c r="E24" s="3" t="s">
        <v>373</v>
      </c>
      <c r="G24" s="4"/>
      <c r="H24" s="4"/>
      <c r="I24" s="4"/>
    </row>
    <row r="25" spans="1:9" ht="15.6" customHeight="1">
      <c r="A25" s="3">
        <v>3</v>
      </c>
      <c r="B25" s="1" t="s">
        <v>352</v>
      </c>
      <c r="C25" s="5">
        <v>57</v>
      </c>
      <c r="D25" s="3" t="s">
        <v>353</v>
      </c>
      <c r="E25" s="3" t="s">
        <v>354</v>
      </c>
      <c r="G25" s="1"/>
    </row>
    <row r="26" spans="1:9" ht="15.6" customHeight="1">
      <c r="A26" s="3">
        <v>4</v>
      </c>
      <c r="B26" s="1" t="s">
        <v>355</v>
      </c>
      <c r="C26" s="5">
        <v>55</v>
      </c>
      <c r="D26" s="3" t="s">
        <v>356</v>
      </c>
      <c r="E26" s="3" t="s">
        <v>357</v>
      </c>
    </row>
    <row r="27" spans="1:9" ht="15.6" customHeight="1">
      <c r="A27" s="3">
        <v>5</v>
      </c>
      <c r="B27" s="1" t="s">
        <v>358</v>
      </c>
      <c r="C27" s="5">
        <v>3</v>
      </c>
      <c r="D27" s="3" t="s">
        <v>359</v>
      </c>
      <c r="E27" s="3" t="s">
        <v>360</v>
      </c>
    </row>
    <row r="28" spans="1:9" ht="15.6" customHeight="1">
      <c r="A28" s="3">
        <v>6</v>
      </c>
      <c r="B28" s="1" t="s">
        <v>361</v>
      </c>
      <c r="C28" s="5">
        <v>112</v>
      </c>
      <c r="D28" s="3" t="s">
        <v>362</v>
      </c>
      <c r="E28" s="3" t="s">
        <v>363</v>
      </c>
    </row>
    <row r="29" spans="1:9" ht="15.6" customHeight="1">
      <c r="A29" s="3">
        <v>7</v>
      </c>
      <c r="B29" s="1" t="s">
        <v>364</v>
      </c>
      <c r="C29" s="5">
        <v>0</v>
      </c>
      <c r="D29" s="3" t="s">
        <v>377</v>
      </c>
      <c r="E29" s="3" t="s">
        <v>378</v>
      </c>
    </row>
    <row r="30" spans="1:9" ht="15.6" customHeight="1">
      <c r="A30" s="3">
        <v>8</v>
      </c>
      <c r="B30" s="1" t="s">
        <v>365</v>
      </c>
      <c r="C30" s="5">
        <v>57</v>
      </c>
      <c r="D30" s="3" t="s">
        <v>366</v>
      </c>
      <c r="E30" s="3" t="s">
        <v>367</v>
      </c>
    </row>
    <row r="31" spans="1:9" ht="15.6" customHeight="1">
      <c r="B31" s="1"/>
      <c r="C31" s="5"/>
    </row>
    <row r="32" spans="1:9" ht="15.6" customHeight="1">
      <c r="A32" s="22" t="s">
        <v>402</v>
      </c>
      <c r="B32" s="1"/>
      <c r="C32" s="5"/>
    </row>
    <row r="33" spans="1:7" ht="15.6" customHeight="1">
      <c r="B33" s="1"/>
      <c r="C33" s="5"/>
    </row>
    <row r="34" spans="1:7" ht="32.450000000000003" customHeight="1">
      <c r="A34" s="43" t="s">
        <v>489</v>
      </c>
      <c r="B34" s="44"/>
      <c r="C34" s="44"/>
      <c r="D34" s="44"/>
      <c r="E34" s="44"/>
      <c r="F34" s="44"/>
      <c r="G34" s="44"/>
    </row>
    <row r="35" spans="1:7" ht="17.45" customHeight="1">
      <c r="A35" s="21"/>
      <c r="B35" s="21"/>
      <c r="C35" s="21"/>
      <c r="D35" s="21"/>
      <c r="E35" s="21"/>
      <c r="F35" s="21"/>
      <c r="G35" s="21"/>
    </row>
    <row r="36" spans="1:7" ht="15.6" customHeight="1">
      <c r="A36" s="19" t="s">
        <v>384</v>
      </c>
      <c r="B36" s="20"/>
      <c r="C36" s="20"/>
      <c r="D36" s="19" t="s">
        <v>383</v>
      </c>
      <c r="E36" s="19" t="s">
        <v>385</v>
      </c>
      <c r="F36" s="19" t="s">
        <v>386</v>
      </c>
    </row>
    <row r="37" spans="1:7" ht="90.6" customHeight="1">
      <c r="A37" s="38" t="s">
        <v>382</v>
      </c>
      <c r="B37" s="38"/>
      <c r="C37" s="38"/>
      <c r="D37" s="18" t="s">
        <v>395</v>
      </c>
      <c r="E37" s="18" t="s">
        <v>396</v>
      </c>
      <c r="F37" s="18" t="s">
        <v>397</v>
      </c>
    </row>
    <row r="40" spans="1:7" ht="76.900000000000006" customHeight="1">
      <c r="A40" s="42" t="s">
        <v>399</v>
      </c>
      <c r="B40" s="42"/>
      <c r="C40" s="42"/>
      <c r="E40" s="42" t="s">
        <v>398</v>
      </c>
      <c r="F40" s="42"/>
      <c r="G40" s="42"/>
    </row>
    <row r="42" spans="1:7" ht="75" customHeight="1">
      <c r="A42" s="42" t="s">
        <v>400</v>
      </c>
      <c r="B42" s="42"/>
      <c r="C42" s="42"/>
      <c r="E42" s="42" t="s">
        <v>401</v>
      </c>
      <c r="F42" s="42"/>
      <c r="G42" s="42"/>
    </row>
    <row r="47" spans="1:7" ht="18.600000000000001" customHeight="1">
      <c r="B47" s="17"/>
      <c r="C47" s="17"/>
      <c r="D47" s="1"/>
    </row>
    <row r="50" spans="1:1" ht="15.6" customHeight="1">
      <c r="A50" s="16"/>
    </row>
  </sheetData>
  <mergeCells count="7">
    <mergeCell ref="A1:H1"/>
    <mergeCell ref="A37:C37"/>
    <mergeCell ref="A40:C40"/>
    <mergeCell ref="E40:G40"/>
    <mergeCell ref="A42:C42"/>
    <mergeCell ref="E42:G42"/>
    <mergeCell ref="A34:G3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F8FF36-2691-4DB3-85AB-FF55BE900FA0}">
  <ds:schemaRefs>
    <ds:schemaRef ds:uri="http://schemas.microsoft.com/DataMashup"/>
  </ds:schemaRefs>
</ds:datastoreItem>
</file>

<file path=docMetadata/LabelInfo.xml><?xml version="1.0" encoding="utf-8"?>
<clbl:labelList xmlns:clbl="http://schemas.microsoft.com/office/2020/mipLabelMetadata">
  <clbl:label id="{f886ab1d-51ff-47ab-9e3e-b20b22f1c1b7}" enabled="1" method="Privileged" siteId="{2d65fea0-8478-44f2-ac0f-1a58b1382aa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Raw data</vt:lpstr>
      <vt:lpstr>tblProducts</vt:lpstr>
      <vt:lpstr>Analysis</vt:lpstr>
      <vt:lpstr>Pivot Tables</vt:lpstr>
      <vt:lpstr>Dashboard</vt:lpstr>
      <vt:lpstr>Data_Dictionary</vt:lpstr>
      <vt:lpstr>Engagement_Q3</vt:lpstr>
      <vt:lpstr>Engagement_Threshold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Anyango Ochieng</dc:creator>
  <cp:lastModifiedBy>Wendy Ochieng</cp:lastModifiedBy>
  <dcterms:created xsi:type="dcterms:W3CDTF">2026-09-01T12:17:45Z</dcterms:created>
  <dcterms:modified xsi:type="dcterms:W3CDTF">2026-09-05T05:40:58Z</dcterms:modified>
</cp:coreProperties>
</file>